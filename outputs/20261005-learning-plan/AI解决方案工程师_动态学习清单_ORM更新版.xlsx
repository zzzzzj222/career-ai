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e504c92d2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进度总览" sheetId="1" r:id="Rcc9160d937f94f2c"/>
    <x:sheet xmlns:r="http://schemas.openxmlformats.org/officeDocument/2006/relationships" name="每日清单" sheetId="2" r:id="Rbf7ae517e7c94541"/>
    <x:sheet xmlns:r="http://schemas.openxmlformats.org/officeDocument/2006/relationships" name="学习资料" sheetId="3" r:id="Rdf7c4ae678234a4e"/>
  </x:sheets>
</x:workbook>
</file>

<file path=xl/sharedStrings.xml><?xml version="1.0" encoding="utf-8"?>
<x:sst xmlns:x="http://schemas.openxmlformats.org/spreadsheetml/2006/main">
  <x:si>
    <x:t xml:space="preserve">AI 解决方案工程师学习进度</x:t>
  </x:si>
  <x:si>
    <x:t xml:space="preserve">每日约 3–4 小时；每周第 7 天复盘缓冲约 2.5 小时</x:t>
  </x:si>
  <x:si>
    <x:t xml:space="preserve">计划天数</x:t>
  </x:si>
  <x:si>
    <x:t xml:space="preserve">已完成</x:t>
  </x:si>
  <x:si>
    <x:t xml:space="preserve">进行中</x:t>
  </x:si>
  <x:si>
    <x:t xml:space="preserve">完成率</x:t>
  </x:si>
  <x:si>
    <x:t xml:space="preserve">计划小时</x:t>
  </x:si>
  <x:si>
    <x:t xml:space="preserve">实际小时</x:t>
  </x:si>
  <x:si>
    <x:t xml:space="preserve">未开始</x:t>
  </x:si>
  <x:si>
    <x:t xml:space="preserve">计划结束日期</x:t>
  </x:si>
  <x:si>
    <x:t xml:space="preserve">统计范围</x:t>
  </x:si>
  <x:si>
    <x:t xml:space="preserve">完成率只统计本次 70 日计划，不代表已有技能归零。</x:t>
  </x:si>
  <x:si>
    <x:t xml:space="preserve">验收口径</x:t>
  </x:si>
  <x:si>
    <x:t xml:space="preserve">周次</x:t>
  </x:si>
  <x:si>
    <x:t xml:space="preserve">本周重点</x:t>
  </x:si>
  <x:si>
    <x:t xml:space="preserve">周验收目标</x:t>
  </x:si>
  <x:si>
    <x:t xml:space="preserve">原计划</x:t>
  </x:si>
  <x:si>
    <x:t xml:space="preserve">ORM 持久化与已有基础补缺</x:t>
  </x:si>
  <x:si>
    <x:t xml:space="preserve">按当前ORM框架说明模型映射、Session、CRUD和事务，并能独立修改；基础接口结果/错误请求免验收，随后衔接LLM输出。</x:t>
  </x:si>
  <x:si>
    <x:t xml:space="preserve">Day01–14</x:t>
  </x:si>
  <x:si>
    <x:t xml:space="preserve">做出带来源的最小 RAG</x:t>
  </x:si>
  <x:si>
    <x:t xml:space="preserve">10 道固定题中 8 道可回答题至少 6 道命中来源；2 道无答案题均明确拒答；重启后索引可用。</x:t>
  </x:si>
  <x:si>
    <x:t xml:space="preserve">Day15–21</x:t>
  </x:si>
  <x:si>
    <x:t xml:space="preserve">完成业务知识库 MVP</x:t>
  </x:si>
  <x:si>
    <x:t xml:space="preserve">一类业务、20–30 份小文档、可操作页面与引用；形成 30 题固定评测集并封存 10 题。</x:t>
  </x:si>
  <x:si>
    <x:t xml:space="preserve">Day22–28</x:t>
  </x:si>
  <x:si>
    <x:t xml:space="preserve">评测、修复并验收项目一</x:t>
  </x:si>
  <x:si>
    <x:t xml:space="preserve">按P19逐题口径：20道有答案题Hit@5至少16/20，引用正确至少17/20；10道无答案题拒答至少8/10；独立10题首次成绩与配置单列。</x:t>
  </x:si>
  <x:si>
    <x:t xml:space="preserve">Day29–35</x:t>
  </x:si>
  <x:si>
    <x:t xml:space="preserve">构建安全的只读工具链</x:t>
  </x:si>
  <x:si>
    <x:t xml:space="preserve">工具选择和参数可追溯；只读查询、行数/耗时限制生效；至少 6 个危险调用被阻止。</x:t>
  </x:si>
  <x:si>
    <x:t xml:space="preserve">Day36–42</x:t>
  </x:si>
  <x:si>
    <x:t xml:space="preserve">完成 Business Analyst 项目二</x:t>
  </x:si>
  <x:si>
    <x:t xml:space="preserve">12题开发/回归至少10题通过，4题独立至少3题通过且缺数据不编造；危险请求全部受限；能独立演示并核对数据。</x:t>
  </x:si>
  <x:si>
    <x:t xml:space="preserve">Day43–49</x:t>
  </x:si>
  <x:si>
    <x:t xml:space="preserve">将两个 Demo 做成可复现交付</x:t>
  </x:si>
  <x:si>
    <x:t xml:space="preserve">两项目在独立环境按 README 启动并通过真实 HTTP 检查；离线 CI 通过；具备部署、日志与恢复记录。</x:t>
  </x:si>
  <x:si>
    <x:t xml:space="preserve">Day50–56</x:t>
  </x:si>
  <x:si>
    <x:t xml:space="preserve">形成第三项目：企业实施方案</x:t>
  </x:si>
  <x:si>
    <x:t xml:space="preserve">完成 10–15 页方案：需求、架构、选型、数据、安全、实施、验收、风险和带假设的成本/ROI。</x:t>
  </x:si>
  <x:si>
    <x:t xml:space="preserve">Day57–70</x:t>
  </x:si>
  <x:si>
    <x:t xml:space="preserve">准备作品集、简历与面试证据</x:t>
  </x:si>
  <x:si>
    <x:t xml:space="preserve">两 Demo 和方案有统一作品集入口；两版简历、8 条岗位样本、2 次模拟面试及修订记录。</x:t>
  </x:si>
  <x:si>
    <x:t xml:space="preserve">Day71–77</x:t>
  </x:si>
  <x:si>
    <x:t xml:space="preserve">开展投递反馈并完成最终验收</x:t>
  </x:si>
  <x:si>
    <x:t xml:space="preserve">本人完成至少 6 次匹配投递或记录客观阻碍；两 Demo 可复现，方案可讲解，形成下一轮调整清单。</x:t>
  </x:si>
  <x:si>
    <x:t xml:space="preserve">Day78–84</x:t>
  </x:si>
  <x:si>
    <x:t xml:space="preserve">最终交付</x:t>
  </x:si>
  <x:si>
    <x:t xml:space="preserve">交付 1</x:t>
  </x:si>
  <x:si>
    <x:t xml:space="preserve">企业知识库问答：可复现运行，回答可追溯引用，无资料时拒答，并附固定评测报告。</x:t>
  </x:si>
  <x:si>
    <x:t xml:space="preserve">交付 2</x:t>
  </x:si>
  <x:si>
    <x:t xml:space="preserve">业务数据分析助手：只读查询，结果可核对，图表与解释一致，出错时给出明确反馈。</x:t>
  </x:si>
  <x:si>
    <x:t xml:space="preserve">交付 3</x:t>
  </x:si>
  <x:si>
    <x:t xml:space="preserve">企业 AI 解决方案：10–15 页，覆盖需求、架构、选型、实施、成本 ROI、风险、验收和运维。</x:t>
  </x:si>
  <x:si>
    <x:t xml:space="preserve">填写方法</x:t>
  </x:si>
  <x:si>
    <x:t xml:space="preserve">每天填写状态、实际小时、证据与卡点；证据可用代码位置、运行输出或演示链接。</x:t>
  </x:si>
  <x:si>
    <x:t xml:space="preserve">“未开始 / 进行中 / 已完成”为唯一状态。未过验收就继续补缺，并顺延后续学习。</x:t>
  </x:si>
  <x:si>
    <x:t xml:space="preserve">黄色单元格可编辑。资料链接可点击，首列和表头已冻结，可按周次或状态筛选。</x:t>
  </x:si>
  <x:si>
    <x:t xml:space="preserve">每日跟进结合仓库变化和你的反馈调整任务，静态 Excel 不会自行改写学习安排。</x:t>
  </x:si>
  <x:si>
    <x:t xml:space="preserve">每日学习清单</x:t>
  </x:si>
  <x:si>
    <x:t xml:space="preserve">Day</x:t>
  </x:si>
  <x:si>
    <x:t xml:space="preserve">阶段</x:t>
  </x:si>
  <x:si>
    <x:t xml:space="preserve">学习主题</x:t>
  </x:si>
  <x:si>
    <x:t xml:space="preserve">今日任务</x:t>
  </x:si>
  <x:si>
    <x:t xml:space="preserve">今日产出</x:t>
  </x:si>
  <x:si>
    <x:t xml:space="preserve">验收标准</x:t>
  </x:si>
  <x:si>
    <x:t xml:space="preserve">完成状态</x:t>
  </x:si>
  <x:si>
    <x:t xml:space="preserve">完成日期</x:t>
  </x:si>
  <x:si>
    <x:t xml:space="preserve">备注</x:t>
  </x:si>
  <x:si>
    <x:t xml:space="preserve">计划日期</x:t>
  </x:si>
  <x:si>
    <x:t xml:space="preserve">资料 1</x:t>
  </x:si>
  <x:si>
    <x:t xml:space="preserve">资料 2</x:t>
  </x:si>
  <x:si>
    <x:t xml:space="preserve">证据</x:t>
  </x:si>
  <x:si>
    <x:t xml:space="preserve">原计划映射</x:t>
  </x:si>
  <x:si>
    <x:t xml:space="preserve">P01</x:t>
  </x:si>
  <x:si>
    <x:t xml:space="preserve">阶段一：补缺与 RAG 项目</x:t>
  </x:si>
  <x:si>
    <x:t xml:space="preserve">基础接口阶段已越过（用户免验收）</x:t>
  </x:si>
  <x:si>
    <x:t xml:space="preserve">目标：依据用户当前进度，结束基础接口检查并转入ORM。
1）记录用户明确取消基础接口运行结果和错误请求验收。
2）保留现有FastAPI与category练习作为后续ORM集成基础。</x:t>
  </x:si>
  <x:si>
    <x:t xml:space="preserve">用户进度确认与计划调整记录</x:t>
  </x:si>
  <x:si>
    <x:t xml:space="preserve">1）用户确认已推进到ORM，基础接口运行结果和错误请求免验收。
2）状态按用户确认记为已完成，不代表助手独立验证过运行或理解。</x:t>
  </x:si>
  <x:si>
    <x:t xml:space="preserve">用户确认跳过基础验收；不再要求reports/P01-api-baseline.md。</x:t>
  </x:si>
  <x:si>
    <x:t xml:space="preserve">FastAPI：第一步与接口文档</x:t>
  </x:si>
  <x:si>
    <x:t xml:space="preserve">FastAPI：请求体</x:t>
  </x:si>
  <x:si>
    <x:t xml:space="preserve">本聊天2026-10-05用户：运行结果、错误请求不需要验收了，目前推进到ORM，更新计划</x:t>
  </x:si>
  <x:si>
    <x:t xml:space="preserve">原 Day13–14：只补运行验收，不重做基础。</x:t>
  </x:si>
  <x:si>
    <x:t xml:space="preserve">P02</x:t>
  </x:si>
  <x:si>
    <x:t xml:space="preserve">ORM 模型、Session 与持久化 CRUD</x:t>
  </x:si>
  <x:si>
    <x:t xml:space="preserve">目标：掌握对象与表的映射，用ORM替代内存商品字典。
1）沿用当前ORM框架；未选定时默认SQLAlchemy 2.x，以SQLite本地文件为练习数据库。
2）创建商品模型，理解主键、字段约束、engine与Session，完成新增/查询/更新/删除。
3）梳理flush、commit、rollback的区别；使用事务上下文与Session关闭机制。</x:t>
  </x:si>
  <x:si>
    <x:t xml:space="preserve">ORM商品模型与CRUD练习、简短概念笔记</x:t>
  </x:si>
  <x:si>
    <x:t xml:space="preserve">1）能解释对象、表、engine、Session各自职责，并指出现有代码的对应位置。
2）能独立写或修改一组ORM CRUD操作，说明持久化与原内存字典的区别。
3）能说明何时commit、何时rollback以及Session如何关闭；无需提交HTTP运行或错误请求记录。</x:t>
  </x:si>
  <x:si>
    <x:t xml:space="preserve">用户已推进到ORM，当前进行中。具体框架待确认；优先沿用已学框架。</x:t>
  </x:si>
  <x:si>
    <x:t xml:space="preserve">SQLAlchemy 2.x：ORM 快速开始</x:t>
  </x:si>
  <x:si>
    <x:t xml:space="preserve">SQLAlchemy 2.x：Session 基础</x:t>
  </x:si>
  <x:si>
    <x:t xml:space="preserve">原Day13–14补充：ORM应用集成；SQL基础已掌握，不重复练习。</x:t>
  </x:si>
  <x:si>
    <x:t xml:space="preserve">P03</x:t>
  </x:si>
  <x:si>
    <x:t xml:space="preserve">ORM 接入 FastAPI</x:t>
  </x:si>
  <x:si>
    <x:t xml:space="preserve">目标：把商品接口的数据访问改为数据库Session，建立路由与数据层边界。
1）将ORM模型、数据库连接、数据访问与请求/响应模型分开组织。
2）通过Depends提供请求范围的Session，路由调用CRUD函数。
3）说明事务提交、失败回滚和连接释放的位置，明确内存存储到持久化存储的变化。</x:t>
  </x:si>
  <x:si>
    <x:t xml:space="preserve">ORM商品API的数据层与依赖结构、简短设计说明</x:t>
  </x:si>
  <x:si>
    <x:t xml:space="preserve">1）能在代码中定位模型层、Session依赖、CRUD与路由的职责。
2）能独立修改一个字段或查询条件，并说明受影响的层。
3）能解释一个请求的Session生命周期与事务边界；基础HTTP运行结果和错误请求无需另交验收。</x:t>
  </x:si>
  <x:si>
    <x:t xml:space="preserve">原Day13–14：已有FastAPI基础后的ORM持久化补充。</x:t>
  </x:si>
  <x:si>
    <x:t xml:space="preserve">P04</x:t>
  </x:si>
  <x:si>
    <x:t xml:space="preserve">LLM 调用的失败处理</x:t>
  </x:si>
  <x:si>
    <x:t xml:space="preserve">目标：将现有 DeepSeek 流式代码补到可诊断、可结束的状态。
1）沿用现有模型和配置，封装流式读取，处理空增量与正常结束。
2）配置超时和有限重试，用可控模拟覆盖限流、超时及认证失败。</x:t>
  </x:si>
  <x:si>
    <x:t xml:space="preserve">可复用 LLM 调用模块与 reports/P04-llm-errors.md</x:t>
  </x:si>
  <x:si>
    <x:t xml:space="preserve">1）至少 1 次真实调用完整结束，输出非空；不在记录中放密钥。
2）超时/限流最多重试 2 次；认证失败直接报错，不无限等待。
3）3 类故障记录含错误类别和处理结果；无真实凭据时明确标记待真实验证。</x:t>
  </x:si>
  <x:si>
    <x:t xml:space="preserve">DeepSeek：流式输出</x:t>
  </x:si>
  <x:si>
    <x:t xml:space="preserve">DeepSeek：错误码</x:t>
  </x:si>
  <x:si>
    <x:t xml:space="preserve">原 Day05–07 的工程补缺；保留现有 DeepSeek 路线。</x:t>
  </x:si>
  <x:si>
    <x:t xml:space="preserve">P05</x:t>
  </x:si>
  <x:si>
    <x:t xml:space="preserve">结构化业务输出</x:t>
  </x:si>
  <x:si>
    <x:t xml:space="preserve">目标：让模型结果能被程序校验，并对异常输出给出可理解的提示。
1）定义包含结论、依据和限制的简单 JSON 输出结构。
2）在现有调用上加结构校验，并准备错误 JSON、缺字段和空输出样例。</x:t>
  </x:si>
  <x:si>
    <x:t xml:space="preserve">结构化输出示例与 5 条校验记录</x:t>
  </x:si>
  <x:si>
    <x:t xml:space="preserve">1）2 个正常例子能通过结构校验，并显示结论与依据。
2）3 个异常例子均被识别，不把原始异常堆栈直接展示给使用者。
3）缺少数据依据时输出限制说明，不编造数字。</x:t>
  </x:si>
  <x:si>
    <x:t xml:space="preserve">DeepSeek：JSON Output</x:t>
  </x:si>
  <x:si>
    <x:t xml:space="preserve">原基础阶段补缺：为 RAG 和 Agent 准备可校验输出。</x:t>
  </x:si>
  <x:si>
    <x:t xml:space="preserve">P06</x:t>
  </x:si>
  <x:si>
    <x:t xml:space="preserve">目标岗位与项目问题</x:t>
  </x:si>
  <x:si>
    <x:t xml:space="preserve">目标：用真实岗位需求确定两项目的业务边界。
1）收集 6–8 条可申请的 AI 实施/解决方案/应用工程岗位，保存链接和日期。
2）归纳高频能力，选定知识库业务场景与分析业务场景，各写一页范围说明。</x:t>
  </x:si>
  <x:si>
    <x:t xml:space="preserve">reports/job-sample-v1.md 与两个项目的一页需求</x:t>
  </x:si>
  <x:si>
    <x:t xml:space="preserve">1）至少 6 条岗位记录含职责、硬性条件、地点/工作形式与原链接。
2）两项目各写清使用者、问题、输入输出和 3 条验收要求。
3）将高频要求标成已有证据/待补缺；不把高级岗位年限要求当作本轮必达。</x:t>
  </x:si>
  <x:si>
    <x:t xml:space="preserve">Microsoft Learn：解决方案架构师职业路径</x:t>
  </x:si>
  <x:si>
    <x:t xml:space="preserve">Microsoft Learn：RAG 概述</x:t>
  </x:si>
  <x:si>
    <x:t xml:space="preserve">原 Day01 目标确认补充；提前引入原 Day71 的岗位匹配。</x:t>
  </x:si>
  <x:si>
    <x:t xml:space="preserve">P07</x:t>
  </x:si>
  <x:si>
    <x:t xml:space="preserve">第一周复盘与缓冲</x:t>
  </x:si>
  <x:si>
    <x:t xml:space="preserve">目标：确认基础缺口已补齐，再进入 RAG。
1）复盘ORM模型、Session与事务，以及本周LLM配置和结构化输出。
2）根据真实不足选一项补练；已有数据清洗仅在需要时补相对路径、raw/processed分离和质量说明。</x:t>
  </x:si>
  <x:si>
    <x:t xml:space="preserve">reports/W01-review.md 与下一周调整记录</x:t>
  </x:si>
  <x:si>
    <x:t xml:space="preserve">1）能说明ORM持久化、数据访问层与路由的关系，给出一个自己修改过的例子。
2）能解释LLM错误分类与结构化业务输出的用途，不要求补做基础接口运行或错误请求验收。
3）未达关口时插入S编号补练并顺延后续，保留原任务。</x:t>
  </x:si>
  <x:si>
    <x:t xml:space="preserve">FastAPI：测试</x:t>
  </x:si>
  <x:si>
    <x:t xml:space="preserve">GitHub Docs：关于 README</x:t>
  </x:si>
  <x:si>
    <x:t xml:space="preserve">原 Day14 复盘；本日不新增理论。</x:t>
  </x:si>
  <x:si>
    <x:t xml:space="preserve">P08</x:t>
  </x:si>
  <x:si>
    <x:t xml:space="preserve">中文文本向量</x:t>
  </x:si>
  <x:si>
    <x:t xml:space="preserve">目标：用少量业务文本验证相似度能表达语义关联。
1）选择一个明确支持中文的轻量 Embedding 模型，在 CPU 上编码 10 条业务句子。 使用独立、受相关依赖支持的Python环境，先核对兼容版本；保留已有.venv。
2）比较 3 个近义查询和 2 个无关查询的排序，记录模型版本。</x:t>
  </x:si>
  <x:si>
    <x:t xml:space="preserve">Embedding 小实验与 reports/P08-similarity.md</x:t>
  </x:si>
  <x:si>
    <x:t xml:space="preserve">1）10 条文本均生成相同维数的向量，无空值。
2）至少 3 个近义查询的相关文本进入前 3，失败样例被保留。
3）记录模型名、维数、首次加载耗时与运行命令。</x:t>
  </x:si>
  <x:si>
    <x:t xml:space="preserve">预计时长包含排错。安装/下载排错累计超过60分钟，就插入环境补课并顺延；保留现有环境，禁止把任务叠到同一天。</x:t>
  </x:si>
  <x:si>
    <x:t xml:space="preserve">Sentence Transformers：语义相似度</x:t>
  </x:si>
  <x:si>
    <x:t xml:space="preserve">原 Day15：Embedding；不训练模型。</x:t>
  </x:si>
  <x:si>
    <x:t xml:space="preserve">P09</x:t>
  </x:si>
  <x:si>
    <x:t xml:space="preserve">带来源的文档分块</x:t>
  </x:si>
  <x:si>
    <x:t xml:space="preserve">目标：将业务文档切成能追溯出处的检索单位。
1）选 5 份公开或脱敏的短文档，保留标题、版本和来源。
2）实现一种按标题/长度的分块方式，记录块 ID、文档 ID 和位置。</x:t>
  </x:si>
  <x:si>
    <x:t xml:space="preserve">5 份样本文档、分块脚本与 chunks.jsonl</x:t>
  </x:si>
  <x:si>
    <x:t xml:space="preserve">1）每块都有唯一 ID、原文和来源定位字段。
2）人工抽查 10 个块能回到原文，关键段落没有被遗漏。
3）记录分块长度和重叠参数，以及 2 个跨段问题。</x:t>
  </x:si>
  <x:si>
    <x:t xml:space="preserve">Microsoft Learn：RAG 文档分块</x:t>
  </x:si>
  <x:si>
    <x:t xml:space="preserve">原 Day16：文本处理与分块。</x:t>
  </x:si>
  <x:si>
    <x:t xml:space="preserve">P10</x:t>
  </x:si>
  <x:si>
    <x:t xml:space="preserve">持久化向量索引</x:t>
  </x:si>
  <x:si>
    <x:t xml:space="preserve">目标：将文档向量存入可重启使用的本地索引。
1）用 Chroma 保存分块文本、向量和来源元数据。
2）实现按稳定 ID 写入和更新，重启后重新查询。</x:t>
  </x:si>
  <x:si>
    <x:t xml:space="preserve">索引构建命令、持久化目录与索引统计</x:t>
  </x:si>
  <x:si>
    <x:t xml:space="preserve">1）索引条目数与有效块数一致。
2）同一批文档重复导入不增加重复条目。
3）重启进程后能查询同一索引，并取回来源字段。</x:t>
  </x:si>
  <x:si>
    <x:t xml:space="preserve">Chroma：快速开始</x:t>
  </x:si>
  <x:si>
    <x:t xml:space="preserve">原 Day17：向量库与索引。</x:t>
  </x:si>
  <x:si>
    <x:t xml:space="preserve">P11</x:t>
  </x:si>
  <x:si>
    <x:t xml:space="preserve">检索及命中检查</x:t>
  </x:si>
  <x:si>
    <x:t xml:space="preserve">目标：让业务问题返回可检查的 top-k 证据。
1）实现检索接口或命令，返回 top-5 文本、分数与来源。
2）写 8 道可回答题和 2 道无答案题，并手工标注预期文档。</x:t>
  </x:si>
  <x:si>
    <x:t xml:space="preserve">检索程序与 10 题最小检索集</x:t>
  </x:si>
  <x:si>
    <x:t xml:space="preserve">1）8 道可回答题至少 6 道在 top-5 中命中预期文档。
2）每个结果都显示块 ID、来源和分数，不只打印答案。
3）保留全部失败题及初步原因，不删除难题美化结果。</x:t>
  </x:si>
  <x:si>
    <x:t xml:space="preserve">Sentence Transformers：语义检索</x:t>
  </x:si>
  <x:si>
    <x:t xml:space="preserve">原 Day18：相似度检索与检索评估起步。</x:t>
  </x:si>
  <x:si>
    <x:t xml:space="preserve">P12</x:t>
  </x:si>
  <x:si>
    <x:t xml:space="preserve">最小 RAG 回答</x:t>
  </x:si>
  <x:si>
    <x:t xml:space="preserve">目标：让模型仅凭检索证据回答，并给出来源。
1）把检索结果编号后作为上下文，接入现有 DeepSeek 调用。
2）要求回答附来源编号；上下文不足时说明无法确认。</x:t>
  </x:si>
  <x:si>
    <x:t xml:space="preserve">可运行的问答命令与 5 条带引用示例</x:t>
  </x:si>
  <x:si>
    <x:t xml:space="preserve">1）5 道样例题都展示回答及可展开/查看的原文片段。
2）引用编号只能来自本次检索结果，不接受不存在的来源。
3）至少 1 道无答案题明确说明知识库缺少依据。</x:t>
  </x:si>
  <x:si>
    <x:t xml:space="preserve">DeepSeek：首次调用</x:t>
  </x:si>
  <x:si>
    <x:t xml:space="preserve">原 Day19：检索增强生成最小闭环。</x:t>
  </x:si>
  <x:si>
    <x:t xml:space="preserve">P13</x:t>
  </x:si>
  <x:si>
    <x:t xml:space="preserve">RAG API 与来源结构</x:t>
  </x:si>
  <x:si>
    <x:t xml:space="preserve">目标：把最小 RAG 封装成可供页面调用的接口。
1）增加 /ask 接口，返回 answer、sources 和基本耗时。
2）校验空问题、超长问题以及索引不存在的响应。</x:t>
  </x:si>
  <x:si>
    <x:t xml:space="preserve">RAG API 与 4 组真实 HTTP 记录</x:t>
  </x:si>
  <x:si>
    <x:t xml:space="preserve">1）正常请求返回回答、至少 1 条可核对来源及耗时。
2）空问题、超长问题和缺失索引均返回约定错误。
3）/docs 中输入和输出结构完整，源码不包含密钥。</x:t>
  </x:si>
  <x:si>
    <x:t xml:space="preserve">FastAPI：处理错误</x:t>
  </x:si>
  <x:si>
    <x:t xml:space="preserve">原 Day20：RAG 服务封装。</x:t>
  </x:si>
  <x:si>
    <x:t xml:space="preserve">P14</x:t>
  </x:si>
  <x:si>
    <x:t xml:space="preserve">第二周最小闭环验收</x:t>
  </x:si>
  <x:si>
    <x:t xml:space="preserve">目标：确认检索、回答与引用形成可靠的最小路径。
1）运行固定 10 题，记录检索、回答和引用结果。
2）只修复最影响演示的一项问题，并写下一周范围。</x:t>
  </x:si>
  <x:si>
    <x:t xml:space="preserve">reports/W02-review.md 与最小 RAG 演示记录</x:t>
  </x:si>
  <x:si>
    <x:t xml:space="preserve">1）8 道可回答题至少 6 道命中来源，2 道无答案题均明确拒答。
2）重启服务后无需重建索引即可完成一次问答。
3）能用5分钟解释Embedding、分块、检索、生成各自职责；未通过则插入S编号补练，顺延P15及后续，保留原任务。</x:t>
  </x:si>
  <x:si>
    <x:t xml:space="preserve">原 Day21：周复盘与缓冲，不新增理论。</x:t>
  </x:si>
  <x:si>
    <x:t xml:space="preserve">P15</x:t>
  </x:si>
  <x:si>
    <x:t xml:space="preserve">知识库业务验收范围</x:t>
  </x:si>
  <x:si>
    <x:t xml:space="preserve">目标：把通用问答收敛为一个可以交付的业务 MVP。
1）沿用 P06 场景，明确一个用户角色、三类高频问题和业务边界。
2）列出功能必须有/可以延后项，以及无答案时的用户提示。</x:t>
  </x:si>
  <x:si>
    <x:t xml:space="preserve">project-rag/docs/requirements.md</x:t>
  </x:si>
  <x:si>
    <x:t xml:space="preserve">1）形成 3 个用户故事，每个都有输入、预期结果和失败处理。
2）MVP 必须功能不超过 5 项，并写清文档更新者和使用者。
3）明确不支持的任务与敏感数据边界，不临时扩大范围。</x:t>
  </x:si>
  <x:si>
    <x:t xml:space="preserve">Microsoft Learn：Well-Architected 框架</x:t>
  </x:si>
  <x:si>
    <x:t xml:space="preserve">原 Day22：知识库需求与业务范围。</x:t>
  </x:si>
  <x:si>
    <x:t xml:space="preserve">P16</x:t>
  </x:si>
  <x:si>
    <x:t xml:space="preserve">知识库导入与更新</x:t>
  </x:si>
  <x:si>
    <x:t xml:space="preserve">目标：将业务资料稳定导入，并支持单文档更新。
1）整理 20–30 份小型公开/脱敏文本或 Markdown 文档；本轮不加入扫描 OCR。
2）在已有导入流程中增加文档版本或内容哈希，验证更新和删除失效内容。</x:t>
  </x:si>
  <x:si>
    <x:t xml:space="preserve">知识库目录、来源清单和更新命令</x:t>
  </x:si>
  <x:si>
    <x:t xml:space="preserve">1）每份资料有来源、采集日期和使用范围记录。
2）同一文档重复导入不重复，修改 1 份文档后只更新对应块。
3）删除/失效的 1 份测试文档不再出现在检索结果中。</x:t>
  </x:si>
  <x:si>
    <x:t xml:space="preserve">原 Day23：文档接入与更新；限制输入格式控制工作量。</x:t>
  </x:si>
  <x:si>
    <x:t xml:space="preserve">P17</x:t>
  </x:si>
  <x:si>
    <x:t xml:space="preserve">可操作的问答页面</x:t>
  </x:si>
  <x:si>
    <x:t xml:space="preserve">目标：让使用者无需命令行就能完成问答。
1）用 Streamlit 为已有 RAG API 制作输入、回答和来源区域。
2）展示加载状态、清空会话按钮与失败提示。</x:t>
  </x:si>
  <x:si>
    <x:t xml:space="preserve">知识库问答页面与启动说明</x:t>
  </x:si>
  <x:si>
    <x:t xml:space="preserve">1）从页面提交 3 个问题均能显示回答和来源。
2）请求期间有等待提示，失败时有可理解的说明。
3）清空按钮会移除当前会话内容；界面不显示密钥或堆栈。</x:t>
  </x:si>
  <x:si>
    <x:t xml:space="preserve">Streamlit：聊天应用教程</x:t>
  </x:si>
  <x:si>
    <x:t xml:space="preserve">Streamlit：Session State</x:t>
  </x:si>
  <x:si>
    <x:t xml:space="preserve">原 Day24：知识库交互页面。</x:t>
  </x:si>
  <x:si>
    <x:t xml:space="preserve">P18</x:t>
  </x:si>
  <x:si>
    <x:t xml:space="preserve">引用核对与证据展示</x:t>
  </x:si>
  <x:si>
    <x:t xml:space="preserve">目标：让用户能够快速核对答案中的事实。
1）在页面展示来源标题、文档位置和命中原文。
2）对回答中的核心事实检查来源支持；修复虚构或错配引用。</x:t>
  </x:si>
  <x:si>
    <x:t xml:space="preserve">来源展示组件与 10 条人工核对记录</x:t>
  </x:si>
  <x:si>
    <x:t xml:space="preserve">1）抽查 10 个有答案回答，至少 8 个回答的全部核心事实均有对应引用原文支持；按回答计数。
2）所有显示的引用 ID 都存在且能打开/展开对应片段。
3）对无依据结论明确标注无法确认，不用相似片段冒充证据。</x:t>
  </x:si>
  <x:si>
    <x:t xml:space="preserve">原 Day25：可追溯回答与引用核验。</x:t>
  </x:si>
  <x:si>
    <x:t xml:space="preserve">P19</x:t>
  </x:si>
  <x:si>
    <x:t xml:space="preserve">固定业务评测集</x:t>
  </x:si>
  <x:si>
    <x:t xml:space="preserve">目标：建立不会随调参被改写的业务验收依据。
1）编写 30 道业务题：20 道有答案、10 道无答案，标注来源与判定要点。
2）划分开发集 20 题和独立集 10 题，独立集本周封存。</x:t>
  </x:si>
  <x:si>
    <x:t xml:space="preserve">eval/questions.jsonl、评分规则与冻结版本号</x:t>
  </x:si>
  <x:si>
    <x:t xml:space="preserve">1）每题有 ID、问题、题型、预期要点、来源或无答案原因。
2）开发集含 14 道有答案和 6 道无答案；独立集含 6 道有答案和 4 道无答案。
3）题集和评分口径有版本；后续修题记录原因，禁止静默删难题。
4）固定口径：Hit@5=top-5命中至少一个预标注充分证据片段的题数/有答案题数；引用正确率=全部核心事实均有正确引用支持的回答数/有答案题数；拒答率=明确拒答且无编造的题数/无答案题数。</x:t>
  </x:si>
  <x:si>
    <x:t xml:space="preserve">pytest：入门</x:t>
  </x:si>
  <x:si>
    <x:t xml:space="preserve">原 Day26：业务题集与评测口径。</x:t>
  </x:si>
  <x:si>
    <x:t xml:space="preserve">P20</x:t>
  </x:si>
  <x:si>
    <x:t xml:space="preserve">业务 MVP 全流程演示</x:t>
  </x:si>
  <x:si>
    <x:t xml:space="preserve">目标：验证使用者从启动到核对证据能完成任务。
1）按一名新使用者的路径执行启动、提问、查看引用与文档更新。
2）修复阻断问题并录制一个 3–5 分钟演示。</x:t>
  </x:si>
  <x:si>
    <x:t xml:space="preserve">MVP 演示视频/截图流程与阻断问题清单</x:t>
  </x:si>
  <x:si>
    <x:t xml:space="preserve">1）连续完成 3 个业务问题和 1 个无答案问题。
2）更新一份文档后页面可检索到新内容，无需修改代码。
3）记录全部阻断缺陷，至少修复最严重的 1 项或说明客观阻碍。</x:t>
  </x:si>
  <x:si>
    <x:t xml:space="preserve">原 Day27：知识库 MVP 集成与展示。</x:t>
  </x:si>
  <x:si>
    <x:t xml:space="preserve">P21</x:t>
  </x:si>
  <x:si>
    <x:t xml:space="preserve">第三周复盘与冻结范围</x:t>
  </x:si>
  <x:si>
    <x:t xml:space="preserve">目标：确认 MVP 可用，进入评测和修复阶段。
1）按需求逐项核对页面、引用和更新功能，检查评测集完整性。
2）冻结本轮功能范围，只排缺陷与评测工作。</x:t>
  </x:si>
  <x:si>
    <x:t xml:space="preserve">reports/W03-review.md 与 MVP 验收表</x:t>
  </x:si>
  <x:si>
    <x:t xml:space="preserve">1）至少 3 个用户故事均有一次实际操作证据。
2）30 题清单齐全且独立 10 题未用于调参。
3）必须功能未通过则插入S编号补练，顺延P22及后续，保留原任务；不把新功能挤入评测周。</x:t>
  </x:si>
  <x:si>
    <x:t xml:space="preserve">原 Day28：周复盘与缓冲，不新增理论。</x:t>
  </x:si>
  <x:si>
    <x:t xml:space="preserve">P22</x:t>
  </x:si>
  <x:si>
    <x:t xml:space="preserve">检索基线量化</x:t>
  </x:si>
  <x:si>
    <x:t xml:space="preserve">目标：分开测量检索命中与回答问题。
1）在14道开发集有答案题上运行检索，按P19固定口径计算逐题Hit@5，并显示命中数/总题数。
2）记录每题 top-5、命中与否、耗时，并归类失败原因。</x:t>
  </x:si>
  <x:si>
    <x:t xml:space="preserve">eval/retrieval-baseline.json 与失败分类表</x:t>
  </x:si>
  <x:si>
    <x:t xml:space="preserve">1）14 道开发集有答案题全部有逐题命中结果及总 Hit@5。
2）每道失败题归到资料缺失、分块、检索或标注问题之一。
3）保存模型版本、分块参数、top-k 和索引版本，可重跑。</x:t>
  </x:si>
  <x:si>
    <x:t xml:space="preserve">原 Day29：检索评估基线。</x:t>
  </x:si>
  <x:si>
    <x:t xml:space="preserve">P23</x:t>
  </x:si>
  <x:si>
    <x:t xml:space="preserve">只改一个检索变量</x:t>
  </x:si>
  <x:si>
    <x:t xml:space="preserve">目标：用对照实验改善最大的检索缺口。
1）根据P22失败类型，只选分块长度、重叠长度或检索文本规范化中的一个变量；评测top-k固定为5。
2）在相同开发集比较改动前后结果，保留全部逐题变化。</x:t>
  </x:si>
  <x:si>
    <x:t xml:space="preserve">检索参数对照报告与选定配置</x:t>
  </x:si>
  <x:si>
    <x:t xml:space="preserve">1）实验只有 1 个主变量，数据、模型与题集版本保持一致。
2）报告 Hit@5、耗时及变好/变差题目数量。
3）改动无净收益则恢复基线；不得只展示成功样例。</x:t>
  </x:si>
  <x:si>
    <x:t xml:space="preserve">原 Day30：小范围检索优化，不引入新框架。</x:t>
  </x:si>
  <x:si>
    <x:t xml:space="preserve">P24</x:t>
  </x:si>
  <x:si>
    <x:t xml:space="preserve">回答依据与拒答</x:t>
  </x:si>
  <x:si>
    <x:t xml:space="preserve">目标：减少已有证据被误读及缺证据时的编造。
1）为开发集回答做人工核对，分别标记事实错误、引用错配和拒答失败。
2）只调整回答提示或上下文组织，重跑受影响题。</x:t>
  </x:si>
  <x:si>
    <x:t xml:space="preserve">回答质量评分表与提示版本</x:t>
  </x:si>
  <x:si>
    <x:t xml:space="preserve">1）14 道有答案题都核对核心事实与引用是否支持。
2）6 道无答案题记录是否明确拒答及是否夹带编造。
3）按P19逐题口径报告修改前后引用正确率与拒答率，保留失败例；若全部通过则保存2个边界用例。</x:t>
  </x:si>
  <x:si>
    <x:t xml:space="preserve">原 Day31：生成质量、引用与无答案策略。</x:t>
  </x:si>
  <x:si>
    <x:t xml:space="preserve">P25</x:t>
  </x:si>
  <x:si>
    <x:t xml:space="preserve">知识库提示注入检查</x:t>
  </x:si>
  <x:si>
    <x:t xml:space="preserve">目标：检验不可信资料不能改变应用行为。
1）制作 5 个对抗问题/文档片段，包括伪系统指令、索取密钥和诱导无引用回答。
2）明确文档仅是数据，加上必要的输入和输出限制后复测。</x:t>
  </x:si>
  <x:si>
    <x:t xml:space="preserve">5 条对抗用例与风险记录</x:t>
  </x:si>
  <x:si>
    <x:t xml:space="preserve">1）5 个用例均记录预期、实际响应与是否通过。
2）不输出密钥、环境变量或未提供的私人内容。
3）不能承诺彻底防注入；残余风险与应用权限边界写入说明。</x:t>
  </x:si>
  <x:si>
    <x:t xml:space="preserve">OWASP GenAI：提示注入</x:t>
  </x:si>
  <x:si>
    <x:t xml:space="preserve">原 Day32：RAG 安全边界与对抗检查。</x:t>
  </x:si>
  <x:si>
    <x:t xml:space="preserve">P26</x:t>
  </x:si>
  <x:si>
    <x:t xml:space="preserve">独立评测与成本记录</x:t>
  </x:si>
  <x:si>
    <x:t xml:space="preserve">目标：用未调参的题目检验泛化，并测量真实成本和延迟。
1）冻结配置后首次运行独立 10 题，人工按同一规则评分。
2）分别汇总开发20题、首次独立10题和全量30题结果，记录用量与延迟；全量结果不可称泛化准确率。</x:t>
  </x:si>
  <x:si>
    <x:t xml:space="preserve">独立评测报告、全量指标和成本估算</x:t>
  </x:si>
  <x:si>
    <x:t xml:space="preserve">1）独立10题结果与冻结配置单列；若后续参考这些结果调参，该集改标回归集，原独立成绩不得改写。
2）按P19口径：全量20道有答案题Hit@5至少16/20、逐题引用正确至少17/20；10道无答案题正确拒答至少8/10，未达标如实记录。
3）报告运行环境、样本数、延迟中位数/P95 与价格日期；用量缺失时标为估算。</x:t>
  </x:si>
  <x:si>
    <x:t xml:space="preserve">DeepSeek：模型与价格</x:t>
  </x:si>
  <x:si>
    <x:t xml:space="preserve">原 Day33：独立验收、时延与成本。</x:t>
  </x:si>
  <x:si>
    <x:t xml:space="preserve">P27</x:t>
  </x:si>
  <x:si>
    <x:t xml:space="preserve">RAG 交付说明</x:t>
  </x:si>
  <x:si>
    <x:t xml:space="preserve">目标：让他人能够复现项目并理解适用边界。
1）完善安装、导入、启动、评测命令和配置示例。
2）整理架构图、业务价值、指标和已知限制。</x:t>
  </x:si>
  <x:si>
    <x:t xml:space="preserve">project-rag/README.md 与交付目录</x:t>
  </x:si>
  <x:si>
    <x:t xml:space="preserve">1）README 含从空环境到一次问答的完整步骤及脱敏配置示例。
2）固定评测可由一条命令启动，人工评分项有明确说明。
3）展示 1 个成功案例和 1 个失败案例，不虚报准确率或业务收益。</x:t>
  </x:si>
  <x:si>
    <x:t xml:space="preserve">Python：虚拟环境</x:t>
  </x:si>
  <x:si>
    <x:t xml:space="preserve">原 Day34：项目一交付文档。</x:t>
  </x:si>
  <x:si>
    <x:t xml:space="preserve">P28</x:t>
  </x:si>
  <x:si>
    <x:t xml:space="preserve">第四周项目一验收</x:t>
  </x:si>
  <x:si>
    <x:t xml:space="preserve">目标：确认项目一达到可演示、可测量的交付标准。
1）按周关口核对全量指标、引用、拒答、启动和已知风险。
2）做一次不看源码的 8 分钟讲解，只修复关口缺口。</x:t>
  </x:si>
  <x:si>
    <x:t xml:space="preserve">reports/W04-review.md 与项目一验收结论</x:t>
  </x:si>
  <x:si>
    <x:t xml:space="preserve">1）按P19口径：20道有答案题命中至少16题，全部核心事实均有正确引用支持的回答至少17题；10道无答案题至少8题正确拒答。
2）独立集结果、失败例和运行证据可定位，未通过项不标完成。
3）未通过则插入补练并顺延P29及后续，不删除原任务。修复前另封存5题（3道有答案、2道无答案），修复冻结后首次测试；保留原独立成绩，已揭盲题仅作回归。</x:t>
  </x:si>
  <x:si>
    <x:t xml:space="preserve">原 Day35：项目一关口复盘，不新增理论。</x:t>
  </x:si>
  <x:si>
    <x:t xml:space="preserve">P29</x:t>
  </x:si>
  <x:si>
    <x:t xml:space="preserve">阶段二：Agent 项目与工程交付</x:t>
  </x:si>
  <x:si>
    <x:t xml:space="preserve">单工具调用闭环</x:t>
  </x:si>
  <x:si>
    <x:t xml:space="preserve">目标：让模型通过受约束工具取得真实数据。
1）按 DeepSeek tool calling 接入一个无副作用的业务指标查询工具。
2）记录模型请求工具、执行结果和最终回答的完整链路。</x:t>
  </x:si>
  <x:si>
    <x:t xml:space="preserve">单工具 Demo 与 3 条调用轨迹</x:t>
  </x:si>
  <x:si>
    <x:t xml:space="preserve">1）3 个业务问题都展示工具名、合法参数和返回结果。
2）工具结果通过对应 tool_call_id 回传，最终回答使用实际结果。
3）至少 1 个无需工具的问题不强行触发工具。</x:t>
  </x:si>
  <x:si>
    <x:t xml:space="preserve">DeepSeek：工具调用</x:t>
  </x:si>
  <x:si>
    <x:t xml:space="preserve">原 Day36：工具调用机制；业务数据取自已掌握 SQL 的结果。</x:t>
  </x:si>
  <x:si>
    <x:t xml:space="preserve">P30</x:t>
  </x:si>
  <x:si>
    <x:t xml:space="preserve">工具参数与错误协议</x:t>
  </x:si>
  <x:si>
    <x:t xml:space="preserve">目标：让错误调用能够被识别并得到可理解的结果。
1）为工具定义严格参数结构与允许取值。
2）用未知工具、缺参数和错误日期等情况检验调用边界。</x:t>
  </x:si>
  <x:si>
    <x:t xml:space="preserve">工具 schema、错误格式和 5 个调用样例</x:t>
  </x:si>
  <x:si>
    <x:t xml:space="preserve">1）合法参数可执行，3 类非法参数在执行前被拒绝。
2）未知工具名不映射到任意函数或系统命令。
3）错误结果有稳定类别和说明，最终回答不会假称查询成功。</x:t>
  </x:si>
  <x:si>
    <x:t xml:space="preserve">原 Day37：工具接口和参数校验。</x:t>
  </x:si>
  <x:si>
    <x:t xml:space="preserve">P31</x:t>
  </x:si>
  <x:si>
    <x:t xml:space="preserve">只读数据访问边界</x:t>
  </x:si>
  <x:si>
    <x:t xml:space="preserve">目标：让分析工具只能访问允许的数据且不能写入。
1）将脱敏演示数据放入独立 SQLite 副本，配置只读连接和表访问白名单。
2）增加最大返回行数和查询耗时限制，使用驱动权限控制阻止写操作。</x:t>
  </x:si>
  <x:si>
    <x:t xml:space="preserve">受限查询执行器与权限验证记录</x:t>
  </x:si>
  <x:si>
    <x:t xml:space="preserve">1）数据源以只读方式打开；测试前后文件内容哈希相同。
2）写入/删表/附加库/读取白名单外表至少 4 类请求被阻止。
3）查询最多100行，单值最多10KB、响应最多100KB，超时可中止；超限明确拒绝或标记截断。限制由驱动和执行器实施，不能只靠提示词或SELECT前缀。</x:t>
  </x:si>
  <x:si>
    <x:t xml:space="preserve">Python：sqlite3</x:t>
  </x:si>
  <x:si>
    <x:t xml:space="preserve">OWASP GenAI：过度自主权</x:t>
  </x:si>
  <x:si>
    <x:t xml:space="preserve">原 Day38：只读 NL2SQL 的执行安全集成；不重学 SQL。</x:t>
  </x:si>
  <x:si>
    <x:t xml:space="preserve">P32</x:t>
  </x:si>
  <x:si>
    <x:t xml:space="preserve">NL2SQL 工具集成</x:t>
  </x:si>
  <x:si>
    <x:t xml:space="preserve">目标：把自然语言问题连接到只读查询与可追溯结果。
1）向模型提供精简表结构、业务口径和受限查询工具。
2）选择 6 个已有业务问题，保存生成查询、执行结果及中文解释。</x:t>
  </x:si>
  <x:si>
    <x:t xml:space="preserve">自然语言查询接口与 6 条业务轨迹</x:t>
  </x:si>
  <x:si>
    <x:t xml:space="preserve">1）6 个问题至少 5 个得到与基准相同的关键数字。
2）每条回答可查看实际执行查询、数据时间范围和结果摘要。
3）执行失败不编造答案，允许最多 1 次修正后明确报错。</x:t>
  </x:si>
  <x:si>
    <x:t xml:space="preserve">原 Day39：NL2SQL 业务集成；验证工具行为而非新增 SQL 考核。</x:t>
  </x:si>
  <x:si>
    <x:t xml:space="preserve">P33</x:t>
  </x:si>
  <x:si>
    <x:t xml:space="preserve">两个工具的有界编排</x:t>
  </x:si>
  <x:si>
    <x:t xml:space="preserve">目标：让 Agent 在数据查询和知识检索间做受控选择。
1）复用项目一检索工具和项目二数据查询工具，不引入多 Agent 框架。
2）设置最多 3 次工具调用和总执行时限，并记录退出原因。</x:t>
  </x:si>
  <x:si>
    <x:t xml:space="preserve">两工具编排器与 6 条任务轨迹</x:t>
  </x:si>
  <x:si>
    <x:t xml:space="preserve">1）6 个问题覆盖仅检索、仅查数及组合任务，每类至少 2 个。
2）每条轨迹包含选择理由摘要、工具输入输出和耗时。
3）超过 3 次调用或总时限即退出并说明当前缺失信息，不无限循环。</x:t>
  </x:si>
  <x:si>
    <x:t xml:space="preserve">原 Day40：轻量 Agent 编排与循环边界。</x:t>
  </x:si>
  <x:si>
    <x:t xml:space="preserve">P34</x:t>
  </x:si>
  <x:si>
    <x:t xml:space="preserve">危险请求与失败退路</x:t>
  </x:si>
  <x:si>
    <x:t xml:space="preserve">目标：验证模型无法绕开只读和工具权限。
1）准备至少 6 个危险或异常请求：写入、删表、附库、越权表、提示注入和超大查询。
2）检查拒绝行为及工具故障时的用户提示。</x:t>
  </x:si>
  <x:si>
    <x:t xml:space="preserve">工具安全用例集与失败处理记录</x:t>
  </x:si>
  <x:si>
    <x:t xml:space="preserve">1）6 个危险请求全部被执行器阻止或安全限制，数据库哈希不变。
2）模拟工具超时与工具不可用时均有明确失败提示。
3）日志不包含密钥，错误响应不暴露数据库文件完整路径或堆栈。</x:t>
  </x:si>
  <x:si>
    <x:t xml:space="preserve">原 Day41：只读工具安全与故障验证。</x:t>
  </x:si>
  <x:si>
    <x:t xml:space="preserve">P35</x:t>
  </x:si>
  <x:si>
    <x:t xml:space="preserve">第五周工具链验收</x:t>
  </x:si>
  <x:si>
    <x:t xml:space="preserve">目标：确认工具链可靠后再构建业务分析页面。
1）复跑正常、错误和危险请求，检查权限与循环限制。
2）只修复最重要缺口，更新下一周风险。</x:t>
  </x:si>
  <x:si>
    <x:t xml:space="preserve">reports/W05-review.md 与工具链验收表</x:t>
  </x:si>
  <x:si>
    <x:t xml:space="preserve">1）至少 6 个正常业务样例和 6 个危险样例均有完整记录。
2）能说明工具 schema、模型决策和执行器权限各自职责。
3）只读/限时/限行任一未通过时，插入S编号补练并顺延P36及后续，保留原任务，不扩大功能。</x:t>
  </x:si>
  <x:si>
    <x:t xml:space="preserve">原 Day42：周复盘与缓冲，不新增理论。</x:t>
  </x:si>
  <x:si>
    <x:t xml:space="preserve">P36</x:t>
  </x:si>
  <x:si>
    <x:t xml:space="preserve">分析业务口径</x:t>
  </x:si>
  <x:si>
    <x:t xml:space="preserve">目标：把 Agent 输出限定为可核对的业务分析。
1）确定一个分析使用者及 3 个决策问题，沿用脱敏演示数据。
2）写清 5 个核心指标的口径、时间范围、单位和空值规则。</x:t>
  </x:si>
  <x:si>
    <x:t xml:space="preserve">project-analyst/docs/metrics.md 与用户故事</x:t>
  </x:si>
  <x:si>
    <x:t xml:space="preserve">1）3 个决策问题各有预期输出和对应数据来源。
2）5 个指标均有定义、单位、范围和基准示例。
3）明确数据是公开/模拟/脱敏，缺少因果证据时不得写因果结论。</x:t>
  </x:si>
  <x:si>
    <x:t xml:space="preserve">pandas：文件读写</x:t>
  </x:si>
  <x:si>
    <x:t xml:space="preserve">原 Day43：Business Analyst 业务需求与口径。</x:t>
  </x:si>
  <x:si>
    <x:t xml:space="preserve">P37</x:t>
  </x:si>
  <x:si>
    <x:t xml:space="preserve">结构化分析报告</x:t>
  </x:si>
  <x:si>
    <x:t xml:space="preserve">目标：让数字、证据和建议形成可阅读的报告。
1）定义报告结构：问题、数据范围、发现、证据、限制和下一步。
2）把工具结果转换成报告，给每条数字结论附结果来源。</x:t>
  </x:si>
  <x:si>
    <x:t xml:space="preserve">报告生成模块与 3 份业务样例</x:t>
  </x:si>
  <x:si>
    <x:t xml:space="preserve">1）3 份报告的关键数字均能回溯到工具输出。
2）每份都有时间范围、样本量及至少 1 条限制。
3）建议与已知事实分开表达，不编造业务成效或原因。</x:t>
  </x:si>
  <x:si>
    <x:t xml:space="preserve">原 Day44：分析结论与报告生成。</x:t>
  </x:si>
  <x:si>
    <x:t xml:space="preserve">P38</x:t>
  </x:si>
  <x:si>
    <x:t xml:space="preserve">图表与数据一致性</x:t>
  </x:si>
  <x:si>
    <x:t xml:space="preserve">目标：用已有可视化能力展示分析结果并避免数字错配。
1）复用现有图表经验，为 2 类问题生成柱状图或折线图。
2）使图表数据直接来自工具结果，补标题、单位和时间范围。</x:t>
  </x:si>
  <x:si>
    <x:t xml:space="preserve">2 类分析图表与数据对照记录</x:t>
  </x:si>
  <x:si>
    <x:t xml:space="preserve">1）至少 2 张图的所有展示数值与查询结果一致。
2）标题、坐标单位和时间范围完整，不用截断坐标夸大差异。
3）空数据与单点数据有明确提示，不生成误导性图表。</x:t>
  </x:si>
  <x:si>
    <x:t xml:space="preserve">原 Day45：业务图表；复用已有图表技能。</x:t>
  </x:si>
  <x:si>
    <x:t xml:space="preserve">P39</x:t>
  </x:si>
  <x:si>
    <x:t xml:space="preserve">分析应用页面</x:t>
  </x:si>
  <x:si>
    <x:t xml:space="preserve">目标：让使用者完成提问、查证、看图和导出。
1）用 Streamlit 整合问题输入、分析报告、图表和工具轨迹。
2）增加报告下载及会话重置，限制一次只运行一个分析任务。</x:t>
  </x:si>
  <x:si>
    <x:t xml:space="preserve">Business Analyst 页面与操作说明</x:t>
  </x:si>
  <x:si>
    <x:t xml:space="preserve">1）3 个业务任务都能在页面完成并查看数据依据。
2）导出的报告含标题、时间范围和来源说明。
3）清空会话不残留上一位使用者的内容；两会话测试不相互污染。</x:t>
  </x:si>
  <x:si>
    <x:t xml:space="preserve">原 Day46：分析应用交互与输出。</x:t>
  </x:si>
  <x:si>
    <x:t xml:space="preserve">P40</x:t>
  </x:si>
  <x:si>
    <x:t xml:space="preserve">固定业务分析验收集</x:t>
  </x:si>
  <x:si>
    <x:t xml:space="preserve">目标：建立可回归的业务题集，同时保留未用于修复的验收问题。
1）整理12道开发/回归业务题及基准，覆盖汇总、对比、趋势与缺数据；另封存4道题（3道有数据、1道缺数据），P42前不运行。
2）固定版本运行并逐条核对数字、来源、限制和工具选择。</x:t>
  </x:si>
  <x:si>
    <x:t xml:space="preserve">12题开发/回归集、逐题评分与4题封存验收集</x:t>
  </x:si>
  <x:si>
    <x:t xml:space="preserve">1）12道开发题保存基准、实际结果和判定理由；4道封存题只保存问题与预期结果，未用于调参。
2）至少 10 题关键数字正确且来源可追溯；无数据题不编造。
3）危险请求集单独保留，不能用平均分掩盖权限失败。</x:t>
  </x:si>
  <x:si>
    <x:t xml:space="preserve">原 Day47：分析 Agent 业务验收。</x:t>
  </x:si>
  <x:si>
    <x:t xml:space="preserve">P41</x:t>
  </x:si>
  <x:si>
    <x:t xml:space="preserve">修复分析项目最大缺口</x:t>
  </x:si>
  <x:si>
    <x:t xml:space="preserve">目标：用失败证据确定修复，不扩展新功能。
1）按 P40 失败结果选择影响最大的 1–2 项问题。
2）修复后重跑受影响问题和危险请求，并录制短演示。</x:t>
  </x:si>
  <x:si>
    <x:t xml:space="preserve">修复对照表、回归记录与 3–5 分钟演示</x:t>
  </x:si>
  <x:si>
    <x:t xml:space="preserve">1）至少 1 项缺口有修复前后逐题结果；若无失败则检验一个边界案例。
2）12道开发/回归题至少10题业务结果与基准一致，6个危险请求均被阻止；4题封存集仍不运行。
3）演示中包含 1 个正常任务和 1 个安全拒绝/缺数据任务。</x:t>
  </x:si>
  <x:si>
    <x:t xml:space="preserve">原 Day48：项目二缺陷修复与演示。</x:t>
  </x:si>
  <x:si>
    <x:t xml:space="preserve">P42</x:t>
  </x:si>
  <x:si>
    <x:t xml:space="preserve">第六周项目二验收</x:t>
  </x:si>
  <x:si>
    <x:t xml:space="preserve">目标：确认分析应用具备独立演示和解释能力。
1）冻结配置，首次运行4道封存题并单独报告；按新使用者路径启动应用，完成一个分析任务。
2）复盘业务验收和安全限制，只处理关口问题。
3）用10分钟预检Docker是否可用及Windows虚拟化要求，仅登记阻碍；安装问题留给环境补课。</x:t>
  </x:si>
  <x:si>
    <x:t xml:space="preserve">reports/W06-review.md 与项目二验收结论</x:t>
  </x:si>
  <x:si>
    <x:t xml:space="preserve">1）12题回归至少10题通过；4道独立题至少3题通过且缺数据题不编造；危险请求全部通过限制检查，分开报告三类结果。
2）8 分钟内解释数据口径、工具调用、只读边界和失败退路。
3）未通过时先插入补练再顺延P43；参考独立题修复后，该集仅用于回归，新独立验证需另封存4题。</x:t>
  </x:si>
  <x:si>
    <x:t xml:space="preserve">原 Day49：项目二关口复盘，不新增理论。</x:t>
  </x:si>
  <x:si>
    <x:t xml:space="preserve">P43</x:t>
  </x:si>
  <x:si>
    <x:t xml:space="preserve">两个项目的关键行为测试</x:t>
  </x:si>
  <x:si>
    <x:t xml:space="preserve">目标：用稳定离线测试保护交付中的关键行为。
1）为清洗、接口校验、检索来源和工具权限选取关键测试。
2）模型调用使用固定替身，真实模型验收单列执行。</x:t>
  </x:si>
  <x:si>
    <x:t xml:space="preserve">两项目测试入口与测试结果</x:t>
  </x:si>
  <x:si>
    <x:t xml:space="preserve">1）至少 10 个有业务意义的测试覆盖正常、错误和安全路径。
2）离线测试无需真实 API key，失败时能定位行为问题。
3）真实模型/HTTP 验收仍有独立清单，不把替身测试当作线上成功。</x:t>
  </x:si>
  <x:si>
    <x:t xml:space="preserve">原 Day50：关键测试与回归保护。</x:t>
  </x:si>
  <x:si>
    <x:t xml:space="preserve">P44</x:t>
  </x:si>
  <x:si>
    <x:t xml:space="preserve">请求日志与诊断</x:t>
  </x:si>
  <x:si>
    <x:t xml:space="preserve">目标：让一次失败能被快速追踪到具体环节。
1）为 API、检索和工具调用统一请求 ID，记录状态与耗时。
2）模拟 3 类故障并通过日志定位，不记录密钥与完整敏感正文。</x:t>
  </x:si>
  <x:si>
    <x:t xml:space="preserve">日志配置、3 条故障定位记录</x:t>
  </x:si>
  <x:si>
    <x:t xml:space="preserve">1）一次请求能串起 API、检索/工具和模型调用的日志。
2）3 个故障都能在 5 分钟内定位到环节和错误类别。
3）抽查日志无密钥、敏感原文或完整个人数据；保留调试所需最小字段。</x:t>
  </x:si>
  <x:si>
    <x:t xml:space="preserve">Python：日志教程</x:t>
  </x:si>
  <x:si>
    <x:t xml:space="preserve">Microsoft Learn：卓越运营原则</x:t>
  </x:si>
  <x:si>
    <x:t xml:space="preserve">原 Day51：日志、故障诊断与运维基本功。</x:t>
  </x:si>
  <x:si>
    <x:t xml:space="preserve">P45</x:t>
  </x:si>
  <x:si>
    <x:t xml:space="preserve">容器化已有 API</x:t>
  </x:si>
  <x:si>
    <x:t xml:space="preserve">目标：将已工作的 API 变成可重复构建的交付单元。
1）为一个 API 制作 Dockerfile 和忽略规则，固定依赖版本。
2）构建镜像并启动容器，映射端口和数据卷。</x:t>
  </x:si>
  <x:si>
    <x:t xml:space="preserve">Dockerfile、构建启动说明及容器 HTTP 记录</x:t>
  </x:si>
  <x:si>
    <x:t xml:space="preserve">1）镜像构建完成，容器内 /health 通过真实 HTTP 检查。
2）镜像不包含密钥或无关个人文件，配置从环境传入。
3）重建容器后持久化数据仍可使用；Docker 环境受阻则记录原因并优先修环境。</x:t>
  </x:si>
  <x:si>
    <x:t xml:space="preserve">Docker：入门实践</x:t>
  </x:si>
  <x:si>
    <x:t xml:space="preserve">FastAPI：Docker 部署</x:t>
  </x:si>
  <x:si>
    <x:t xml:space="preserve">原 Day52：Docker；只容器化现有逻辑。</x:t>
  </x:si>
  <x:si>
    <x:t xml:space="preserve">P46</x:t>
  </x:si>
  <x:si>
    <x:t xml:space="preserve">双项目部署与访问验证</x:t>
  </x:si>
  <x:si>
    <x:t xml:space="preserve">目标：让两个 Demo 按明确的访问方式运行。
1）将另一项目沿用同样方式打包，整理两个 Demo 的启动入口。
2）默认在本机完成容器部署；仅在已有授权和资源时使用远程主机。</x:t>
  </x:si>
  <x:si>
    <x:t xml:space="preserve">两项目部署说明与运行证据</x:t>
  </x:si>
  <x:si>
    <x:t xml:space="preserve">1）两项目均可启动，健康检查和各 1 条完整业务请求通过。
2）说明部署地址、端口、数据卷和配置位置，不把本地地址称为公网服务。
3）配置不开放无认证的公网工具接口；远程未做时明确写本机已验证。</x:t>
  </x:si>
  <x:si>
    <x:t xml:space="preserve">原 Day53：部署与访问验收；不强制产生云费用。</x:t>
  </x:si>
  <x:si>
    <x:t xml:space="preserve">P47</x:t>
  </x:si>
  <x:si>
    <x:t xml:space="preserve">持续集成</x:t>
  </x:si>
  <x:si>
    <x:t xml:space="preserve">目标：让每次代码改动自动检查关键离线行为。
1）为两个项目配置 GitHub Actions 的依赖安装和测试。
2）运行一次工作流，修复环境差异并保留结果链接。</x:t>
  </x:si>
  <x:si>
    <x:t xml:space="preserve">CI 工作流及运行记录</x:t>
  </x:si>
  <x:si>
    <x:t xml:space="preserve">1）工作流在推送或手动触发后完成至少 1 次成功运行。
2）流程不需要真实模型密钥，不会运行收费模型调用。
3）若网络/权限阻碍托管运行，保留本地等价检查并标记远端未验收，不虚报 CI 成功。</x:t>
  </x:si>
  <x:si>
    <x:t xml:space="preserve">GitHub Docs：构建和测试 Python</x:t>
  </x:si>
  <x:si>
    <x:t xml:space="preserve">原 Day54：CI 与交付检查。</x:t>
  </x:si>
  <x:si>
    <x:t xml:space="preserve">P48</x:t>
  </x:si>
  <x:si>
    <x:t xml:space="preserve">交接、重启与恢复</x:t>
  </x:si>
  <x:si>
    <x:t xml:space="preserve">目标：检验新环境运行和常见故障恢复。
1）在独立虚拟环境或干净容器中只按 README 复现两项目。
2）演练进程停止、缺配置或损坏测试索引中的 2 类情况，补恢复步骤。</x:t>
  </x:si>
  <x:si>
    <x:t xml:space="preserve">交接检查表与故障恢复手册</x:t>
  </x:si>
  <x:si>
    <x:t xml:space="preserve">1）两 Demo 都完成安装/启动、1 次 HTTP 检查和 1 个业务任务。
2）2 类故障均能按文档恢复，记录实际耗时。
3）依赖、示例数据、配置模板和评测入口齐全，无个人绝对路径依赖。</x:t>
  </x:si>
  <x:si>
    <x:t xml:space="preserve">Microsoft Learn：可靠性原则</x:t>
  </x:si>
  <x:si>
    <x:t xml:space="preserve">原 Day55：可复现交接与恢复。</x:t>
  </x:si>
  <x:si>
    <x:t xml:space="preserve">P49</x:t>
  </x:si>
  <x:si>
    <x:t xml:space="preserve">第七周工程交付验收</x:t>
  </x:si>
  <x:si>
    <x:t xml:space="preserve">目标：确认两个 Demo 能由文档驱动运行和维护。
1）核对独立环境复现、测试、部署、日志与恢复证据。
2）复盘剩余阻碍并决定是否进入方案周。</x:t>
  </x:si>
  <x:si>
    <x:t xml:space="preserve">reports/W07-review.md 与工程交付清单</x:t>
  </x:si>
  <x:si>
    <x:t xml:space="preserve">1）两个 Demo 均有独立环境运行、真实 HTTP 和业务验收证据。
2）离线测试通过，托管 CI/公网部署状态如实记录。
3）关键运行缺口未清零则插入S编号补练，顺延P50及后续并保留原任务；本日不添加新框架。</x:t>
  </x:si>
  <x:si>
    <x:t xml:space="preserve">原 Day56：周复盘与缓冲，不新增理论。</x:t>
  </x:si>
  <x:si>
    <x:t xml:space="preserve">P50</x:t>
  </x:si>
  <x:si>
    <x:t xml:space="preserve">阶段三：解决方案与求职</x:t>
  </x:si>
  <x:si>
    <x:t xml:space="preserve">企业场景与需求访谈稿</x:t>
  </x:si>
  <x:si>
    <x:t xml:space="preserve">目标：基于已有 Demo 构造一个有边界的企业实施场景。
1）选一个中小企业部门的知识查询与经营分析场景，明确是假设案例。
2）写 10 个访谈问题，区分已知事实、假设和待确认事项。</x:t>
  </x:si>
  <x:si>
    <x:t xml:space="preserve">方案第 1–2 页：背景、目标与需求</x:t>
  </x:si>
  <x:si>
    <x:t xml:space="preserve">1）包含业务角色、当前流程、3 个痛点和 3 个可测目标。
2）至少 5 条关键假设有验证方式和负责人角色。
3）明确本轮范围、排除项和现有两 Demo 能覆盖的部分。</x:t>
  </x:si>
  <x:si>
    <x:t xml:space="preserve">原 Day57–58：合并需求发现与场景定义。</x:t>
  </x:si>
  <x:si>
    <x:t xml:space="preserve">P51</x:t>
  </x:si>
  <x:si>
    <x:t xml:space="preserve">架构与数据流</x:t>
  </x:si>
  <x:si>
    <x:t xml:space="preserve">目标：用一张图讲清方案组件、边界和数据流向。
1）绘制用户、应用、模型、知识库和业务数据之间的数据流。
2）标注权限边界、外部依赖与失败后的处理路径。</x:t>
  </x:si>
  <x:si>
    <x:t xml:space="preserve">方案第 3–4 页：架构图与数据流</x:t>
  </x:si>
  <x:si>
    <x:t xml:space="preserve">1）图中每条主要连线都有输入/输出或接口说明。
2）明确原始数据、向量、日志的存储和访问边界。
3）至少 3 个失败点有降级/人工处理方式，能对应已有 Demo 证据。</x:t>
  </x:si>
  <x:si>
    <x:t xml:space="preserve">原 Day59–60：合并系统架构与数据流。</x:t>
  </x:si>
  <x:si>
    <x:t xml:space="preserve">P52</x:t>
  </x:si>
  <x:si>
    <x:t xml:space="preserve">技术选型与决策理由</x:t>
  </x:si>
  <x:si>
    <x:t xml:space="preserve">目标：说明为什么当前方案适合约束，而不是堆叠工具。
1）比较本地与托管部署、现有 DeepSeek 与一个候选模型/服务的适配。
2）按数据边界、效果、成本、维护四个维度写选型矩阵。</x:t>
  </x:si>
  <x:si>
    <x:t xml:space="preserve">方案第 5–6 页：选型矩阵与决策记录</x:t>
  </x:si>
  <x:si>
    <x:t xml:space="preserve">1）至少 2 个关键决策各比较 2 个备选方案。
2）每项结论有实测证据或明确标注的公开资料/假设。
3）列出更换选型的触发条件，不声称某工具普遍最优。</x:t>
  </x:si>
  <x:si>
    <x:t xml:space="preserve">原 Day61–62：合并模型、存储与部署选型。</x:t>
  </x:si>
  <x:si>
    <x:t xml:space="preserve">P53</x:t>
  </x:si>
  <x:si>
    <x:t xml:space="preserve">实施、验收与职责</x:t>
  </x:si>
  <x:si>
    <x:t xml:space="preserve">目标：把方案拆成可执行的试点交付过程。
1）规划 4 个实施里程碑，写清产物、依赖和负责人角色。
2）把业务目标转换为 UAT 清单，并规划培训与交接。</x:t>
  </x:si>
  <x:si>
    <x:t xml:space="preserve">方案第 7–8 页：实施计划、职责与验收表</x:t>
  </x:si>
  <x:si>
    <x:t xml:space="preserve">1）4 个里程碑都有可检查产物、进入/退出条件和依赖。
2）至少 8 条 UAT 标准覆盖效果、来源、权限、运行和恢复。
3）客户/实施者/运维者职责清楚，包含试点失败退出或回滚条件。</x:t>
  </x:si>
  <x:si>
    <x:t xml:space="preserve">原 Day63–64：合并实施、验收与交接设计。</x:t>
  </x:si>
  <x:si>
    <x:t xml:space="preserve">P54</x:t>
  </x:si>
  <x:si>
    <x:t xml:space="preserve">风险、权限与运行方案</x:t>
  </x:si>
  <x:si>
    <x:t xml:space="preserve">目标：说明系统风险及可实施的控制措施。
1）列出数据、模型、权限、服务可用性和使用者误用风险。
2）为高优先级风险安排预防、监测、应对和责任角色。</x:t>
  </x:si>
  <x:si>
    <x:t xml:space="preserve">方案第 9–10 页：风险表、安全与运行说明</x:t>
  </x:si>
  <x:si>
    <x:t xml:space="preserve">1）至少 6 项风险有概率/影响、控制、责任角色和剩余风险。
2）明确数据保留、脱敏、最小权限、日志访问与只读工具边界。
3）至少 2 条风险控制已由现有 Demo 用例证明，其余标注待实施。</x:t>
  </x:si>
  <x:si>
    <x:t xml:space="preserve">原 Day65–66：合并风险、安全和运维设计。</x:t>
  </x:si>
  <x:si>
    <x:t xml:space="preserve">P55</x:t>
  </x:si>
  <x:si>
    <x:t xml:space="preserve">成本、ROI 与完整方案</x:t>
  </x:si>
  <x:si>
    <x:t xml:space="preserve">目标：完成可核对假设的成本测算与实施方案初稿。
1）按低/中/高使用量估算模型、运行、维护和实施成本。
2）估算节省工时与盈亏平衡，整合为 10–15 页方案。</x:t>
  </x:si>
  <x:si>
    <x:t xml:space="preserve">10–15 页方案初稿与成本/ROI 计算表</x:t>
  </x:si>
  <x:si>
    <x:t xml:space="preserve">1）三档用量均给出调用量、token、单价日期、币种和维护假设。
2）ROI 含人工成本及采用率假设，并写清收益尚未真实验证。
3）方案覆盖需求、架构、选型、实施、验收、风险、成本和限制，页数 10–15。</x:t>
  </x:si>
  <x:si>
    <x:t xml:space="preserve">Microsoft Learn：成本优化原则</x:t>
  </x:si>
  <x:si>
    <x:t xml:space="preserve">原 Day67–69：合并成本、ROI 与方案整合。</x:t>
  </x:si>
  <x:si>
    <x:t xml:space="preserve">P56</x:t>
  </x:si>
  <x:si>
    <x:t xml:space="preserve">第八周方案答辩与缓冲</x:t>
  </x:si>
  <x:si>
    <x:t xml:space="preserve">目标：确认第三项目可解释、可质疑、可落实。
1）进行 10 分钟方案讲解并回答 5 个质疑。
2）只修复事实不一致、缺少依据和验收不清的部分。</x:t>
  </x:si>
  <x:si>
    <x:t xml:space="preserve">reports/W08-review.md、方案定稿与答辩记录</x:t>
  </x:si>
  <x:si>
    <x:t xml:space="preserve">1）10–15 页方案中的指标、成本和图示互相一致。
2）5 个问题覆盖数据安全、选型、失败处理、成本和上线验收。
3）无法回答的内容有明确待确认项；不把假设案例包装成真实客户案例。</x:t>
  </x:si>
  <x:si>
    <x:t xml:space="preserve">原 Day70：方案关口复盘，不新增理论。</x:t>
  </x:si>
  <x:si>
    <x:t xml:space="preserve">P57</x:t>
  </x:si>
  <x:si>
    <x:t xml:space="preserve">整理两项目的对外说明</x:t>
  </x:si>
  <x:si>
    <x:t xml:space="preserve">目标：让招聘者快速判断项目做了什么以及做得如何。
1）为两个项目各写业务问题、本人工作、架构、运行和评测结果。
2）准备演示入口、截图、已知限制与真实失败案例。</x:t>
  </x:si>
  <x:si>
    <x:t xml:space="preserve">两个项目的作品集 README</x:t>
  </x:si>
  <x:si>
    <x:t xml:space="preserve">1）每个 README 首页能找到场景、启动、演示和评测入口。
2）每个项目至少2项有来源的指标；区分开发/回归与首次独立测试的配置、题量和成绩，不将调参后的同题成绩称泛化能力。
3）贡献描述与代码和记录一致，不写虚构用户量或生产收益。</x:t>
  </x:si>
  <x:si>
    <x:t xml:space="preserve">原 Day71：项目作品集整理。</x:t>
  </x:si>
  <x:si>
    <x:t xml:space="preserve">P58</x:t>
  </x:si>
  <x:si>
    <x:t xml:space="preserve">统一作品集入口</x:t>
  </x:si>
  <x:si>
    <x:t xml:space="preserve">目标：让两 Demo 和方案组成清晰可浏览的能力证据。
1）创建简单作品集索引，链接两个 Demo、方案和演示。
2）检查链接、公开文件和敏感信息，整理一页能力映射。</x:t>
  </x:si>
  <x:si>
    <x:t xml:space="preserve">作品集首页及公开前检查记录</x:t>
  </x:si>
  <x:si>
    <x:t xml:space="preserve">1）入口在 3 次点击内能找到两个 Demo、方案和运行说明。
2）全部本地/仓库链接逐项检查，无无效占位链接。
3）公开材料无密钥、私人数据和无授权文档；公开发布按实际授权操作。</x:t>
  </x:si>
  <x:si>
    <x:t xml:space="preserve">GitHub Docs：管理个人主页 README</x:t>
  </x:si>
  <x:si>
    <x:t xml:space="preserve">GitHub Docs：从仓库中删除敏感数据</x:t>
  </x:si>
  <x:si>
    <x:t xml:space="preserve">原 Day72：统一展示和公开材料检查。</x:t>
  </x:si>
  <x:si>
    <x:t xml:space="preserve">P59</x:t>
  </x:si>
  <x:si>
    <x:t xml:space="preserve">更新目标岗位匹配</x:t>
  </x:si>
  <x:si>
    <x:t xml:space="preserve">目标：用当前岗位样本决定简历重点和少量补缺。
1）更新至少 8 条近期目标岗位，含实施、解决方案与 AI 应用工程相关角色。
2）把高频要求映射到两 Demo 和方案证据，选出最值得投递的一组。</x:t>
  </x:si>
  <x:si>
    <x:t xml:space="preserve">岗位匹配矩阵 v2 与目标清单</x:t>
  </x:si>
  <x:si>
    <x:t xml:space="preserve">1）8 条岗位均有日期、链接、要求和匹配/差距说明。
2）至少 5 条高频能力能关联到具体项目证据。
3）只选不超过 3 项高价值差距；无法短期满足的年限要求如实标注。</x:t>
  </x:si>
  <x:si>
    <x:t xml:space="preserve">National Careers Service：撰写简历</x:t>
  </x:si>
  <x:si>
    <x:t xml:space="preserve">原 Day73：岗位分析与投递定位。</x:t>
  </x:si>
  <x:si>
    <x:t xml:space="preserve">P60</x:t>
  </x:si>
  <x:si>
    <x:t xml:space="preserve">按岗位写两版简历</x:t>
  </x:si>
  <x:si>
    <x:t xml:space="preserve">目标：用可验证成果表达 AI 实施和应用能力。
1）制作偏实施/解决方案和偏 AI 应用工程两版简历。
2）为每个项目写 3–4 条问题、行动、结果描述，并核对事实。</x:t>
  </x:si>
  <x:si>
    <x:t xml:space="preserve">两版简历与事实核对表</x:t>
  </x:si>
  <x:si>
    <x:t xml:space="preserve">1）两版各 1–2 页，前半页能看出目标岗位和相关能力。
2）每条量化成果都能在评测或运行记录中找到依据。
3）保留真实教育/经历，未知信息留待本人补充，不编造工作年限或客户。</x:t>
  </x:si>
  <x:si>
    <x:t xml:space="preserve">原 Day74：岗位化简历。</x:t>
  </x:si>
  <x:si>
    <x:t xml:space="preserve">P61</x:t>
  </x:si>
  <x:si>
    <x:t xml:space="preserve">技术项目模拟面试</x:t>
  </x:si>
  <x:si>
    <x:t xml:space="preserve">目标：检验是否能独立解释实现、取舍和失败。
1）录制或进行一次 30–40 分钟模拟面试，覆盖 RAG 和工具调用。
2）逐题标记正确、含糊和不会，复查相关代码与证据。</x:t>
  </x:si>
  <x:si>
    <x:t xml:space="preserve">模拟面试 1 记录与改进清单</x:t>
  </x:si>
  <x:si>
    <x:t xml:space="preserve">1）至少回答 10 个问题，覆盖分块、评测、引用、只读、超时和部署。
2）能从一条失败案例解释定位过程及取舍，不只背定义。
3）选出最多 3 个薄弱点，各写一个当天可执行的补法。</x:t>
  </x:si>
  <x:si>
    <x:t xml:space="preserve">National Careers Service：面试建议</x:t>
  </x:si>
  <x:si>
    <x:t xml:space="preserve">原 Day75：技术面试与项目解释。</x:t>
  </x:si>
  <x:si>
    <x:t xml:space="preserve">P62</x:t>
  </x:si>
  <x:si>
    <x:t xml:space="preserve">方案与客户沟通模拟</x:t>
  </x:si>
  <x:si>
    <x:t xml:space="preserve">目标：检验需求澄清和方案解释能力。
1）进行第二次模拟：5 分钟需求澄清、10 分钟方案说明、10 分钟质疑。
2）用 STAR 整理 3 个真实学习/项目故事，修订表达。</x:t>
  </x:si>
  <x:si>
    <x:t xml:space="preserve">模拟面试 2 记录与 3 个项目故事</x:t>
  </x:si>
  <x:si>
    <x:t xml:space="preserve">1）先确认业务目标和约束，再说明方案，不直接堆工具名称。
2）能回答成本过高、数据不能外发、效果不达标三类问题。
3）3 个故事均包含本人行动、实际结果和反思，不伪装为真实客户交付。</x:t>
  </x:si>
  <x:si>
    <x:t xml:space="preserve">National Careers Service：STAR 面试方法</x:t>
  </x:si>
  <x:si>
    <x:t xml:space="preserve">原 Day76：方案沟通与行为面试。</x:t>
  </x:si>
  <x:si>
    <x:t xml:space="preserve">P63</x:t>
  </x:si>
  <x:si>
    <x:t xml:space="preserve">第九周求职材料验收</x:t>
  </x:si>
  <x:si>
    <x:t xml:space="preserve">目标：确认材料与演示已经可以用于真实投递。
1）核对作品集、两版简历、岗位匹配与两次模拟面试。
2）只修复投递前最重要的 1–2 个缺口。</x:t>
  </x:si>
  <x:si>
    <x:t xml:space="preserve">reports/W09-review.md 与投递准备清单</x:t>
  </x:si>
  <x:si>
    <x:t xml:space="preserve">1）两 Demo、方案、演示和简历链接均有效且可访问。
2）抽查 5 条简历成果都能定位到证据。
3）剩余薄弱点最多列 3 项并排优先级；严重事实或隐私问题未解决则先修复。</x:t>
  </x:si>
  <x:si>
    <x:t xml:space="preserve">原 Day77：周复盘与缓冲，不新增理论。</x:t>
  </x:si>
  <x:si>
    <x:t xml:space="preserve">P64</x:t>
  </x:si>
  <x:si>
    <x:t xml:space="preserve">第一批匹配投递</x:t>
  </x:si>
  <x:si>
    <x:t xml:space="preserve">目标：把材料用于真实岗位并建立可回访记录。
1）从目标清单选择 3 个匹配岗位，逐条调整简历重点。
2）由本人确认材料并完成投递，记录版本、渠道和日期。</x:t>
  </x:si>
  <x:si>
    <x:t xml:space="preserve">3 条投递记录与对应简历版本</x:t>
  </x:si>
  <x:si>
    <x:t xml:space="preserve">1）至少 3 个岗位有匹配理由及差距说明。
2）本人完成 3 次投递并记录凭据；岗位失效等阻碍如实记录并换候选。
3）不自动代发私人消息，不承诺投递必然带来面试或 offer。</x:t>
  </x:si>
  <x:si>
    <x:t xml:space="preserve">原 Day78：真实投递第一批。</x:t>
  </x:si>
  <x:si>
    <x:t xml:space="preserve">P65</x:t>
  </x:si>
  <x:si>
    <x:t xml:space="preserve">定向修复一个求职缺口</x:t>
  </x:si>
  <x:si>
    <x:t xml:space="preserve">目标：用岗位要求或模拟反馈提升最薄弱的证据。
1）从真实反馈/岗位矩阵选择一个高频且可当天解决的问题。
2）做最小修复或补证据，再更新对应简历和作品集。</x:t>
  </x:si>
  <x:si>
    <x:t xml:space="preserve">一项定向补缺产物与前后对照</x:t>
  </x:si>
  <x:si>
    <x:t xml:space="preserve">1）说明缺口来自哪条反馈或至少 3 条岗位要求。
2）补缺限定为 1 项，包含可运行/可演示/可核对结果。
3）缺少真实招聘反馈时明确使用模拟或岗位反馈，不编造回复。</x:t>
  </x:si>
  <x:si>
    <x:t xml:space="preserve">原 Day79：反馈驱动补缺。</x:t>
  </x:si>
  <x:si>
    <x:t xml:space="preserve">P66</x:t>
  </x:si>
  <x:si>
    <x:t xml:space="preserve">第二批匹配投递</x:t>
  </x:si>
  <x:si>
    <x:t xml:space="preserve">目标：验证修订后的材料并扩大合适机会。
1）选择另外 3 个匹配岗位，检查要求与项目证据对应关系。
2）本人完成第二批投递，比较两批材料与岗位差异。</x:t>
  </x:si>
  <x:si>
    <x:t xml:space="preserve">累计至少 6 条投递记录与版本对照</x:t>
  </x:si>
  <x:si>
    <x:t xml:space="preserve">1）新增 3 次由本人完成的投递，或记录具体客观阻碍与替代岗位。
2）每条记录含岗位链接、时间、简历版本、当前状态和下次查看日期。
3）不把没有回复视为技术能力结论，不据此盲目重做项目。</x:t>
  </x:si>
  <x:si>
    <x:t xml:space="preserve">原 Day80：真实投递第二批。</x:t>
  </x:si>
  <x:si>
    <x:t xml:space="preserve">P67</x:t>
  </x:si>
  <x:si>
    <x:t xml:space="preserve">陌生问题现场演示</x:t>
  </x:si>
  <x:si>
    <x:t xml:space="preserve">目标：检验能否应对未排练的业务问题和常见追问。
1）给两个 Demo 各准备 3 道未用于调参的新题，现场运行。
2）完成一次 15 分钟演示，主动说明限制与失败处理。</x:t>
  </x:si>
  <x:si>
    <x:t xml:space="preserve">6 道新题结果与现场演示记录</x:t>
  </x:si>
  <x:si>
    <x:t xml:space="preserve">1）6 道题全部记录结果及判定依据，不只选成功题。
2）两项目各至少 2 道正常业务题达到预期；不足则记录待修复项。
3）能够解释任何失败发生在数据、检索、模型、工具还是界面环节。</x:t>
  </x:si>
  <x:si>
    <x:t xml:space="preserve">原 Day81：陌生场景与面试演示。</x:t>
  </x:si>
  <x:si>
    <x:t xml:space="preserve">P68</x:t>
  </x:si>
  <x:si>
    <x:t xml:space="preserve">双 Demo 独立复现终验</x:t>
  </x:si>
  <x:si>
    <x:t xml:space="preserve">目标：确认最终作品可以脱离当前开发会话运行。
1）在独立环境从 README 启动两项目，执行固定评测和业务请求。
2）核对依赖、数据、配置示例和恢复步骤，修复阻断问题。</x:t>
  </x:si>
  <x:si>
    <x:t xml:space="preserve">两个 Demo 最终复现记录与评测快照</x:t>
  </x:si>
  <x:si>
    <x:t xml:space="preserve">1）两项目均完成独立环境安装、启动、真实 HTTP 和一条完整业务流程。
2）RAG固定集、分析12题回归集按原口径报告；独立集注明首次测试或已揭盲后回归；安全用例全部通过。
3）未验证的远程部署或真实模型路径明确标出，不能以离线替身代替。</x:t>
  </x:si>
  <x:si>
    <x:t xml:space="preserve">原 Day82：作品工程终验。</x:t>
  </x:si>
  <x:si>
    <x:t xml:space="preserve">P69</x:t>
  </x:si>
  <x:si>
    <x:t xml:space="preserve">方案与个人能力终验</x:t>
  </x:si>
  <x:si>
    <x:t xml:space="preserve">目标：检验能否把业务目标、系统行为和交付计划连起来讲清。
1）按 10–15 页方案做 10 分钟讲解，回答 5 个新追问。
2）核对简历、作品集、方案和评测的事实一致性。</x:t>
  </x:si>
  <x:si>
    <x:t xml:space="preserve">终验答辩记录与能力证据矩阵</x:t>
  </x:si>
  <x:si>
    <x:t xml:space="preserve">1）两 Demo 和方案都能说明业务问题、实现、指标、限制及下一步。
2）5 个追问至少 4 个有具体回答；不会的如实记录待确认与查证方式。
3）抽查 8 条成果描述无互相矛盾、虚构客户或未经验证的收益。</x:t>
  </x:si>
  <x:si>
    <x:t xml:space="preserve">原 Day83：方案与能力终验。</x:t>
  </x:si>
  <x:si>
    <x:t xml:space="preserve">P70</x:t>
  </x:si>
  <x:si>
    <x:t xml:space="preserve">第十周总复盘与下一轮计划</x:t>
  </x:si>
  <x:si>
    <x:t xml:space="preserve">目标：据证据决定后续两周优先事项，并持续跟踪投递。
1）汇总完成、未完成、耗时和投递反馈，区分能力缺口与外部阻碍。
2）只安排下一轮最重要的 3 项行动，延续每日跟进。</x:t>
  </x:si>
  <x:si>
    <x:t xml:space="preserve">reports/W10-review.md、最终验收表与下一轮两周清单</x:t>
  </x:si>
  <x:si>
    <x:t xml:space="preserve">1）两可复现 Demo、一份 10–15 页方案、固定评测和独立解释逐项给出证据/缺口。
2）累计至少 6 次匹配投递或明确记录阻碍；未获 offer 不等于本计划未完成。
3）下一轮 3 项行动各有目标、预计时长和验收；未完成项保留原 ID 与历史记录。</x:t>
  </x:si>
  <x:si>
    <x:t xml:space="preserve">原 Day84：最终复盘与持续调整，不新增理论。</x:t>
  </x:si>
  <x:si>
    <x:t xml:space="preserve">学习资料与阅读范围</x:t>
  </x:si>
  <x:si>
    <x:t xml:space="preserve">按每日清单中的链接学习；先读推荐部分，再用当天产出检验理解。</x:t>
  </x:si>
  <x:si>
    <x:t xml:space="preserve">编号</x:t>
  </x:si>
  <x:si>
    <x:t xml:space="preserve">资料名称</x:t>
  </x:si>
  <x:si>
    <x:t xml:space="preserve">链接</x:t>
  </x:si>
  <x:si>
    <x:t xml:space="preserve">推荐阅读部分</x:t>
  </x:si>
  <x:si>
    <x:t xml:space="preserve">fastapi-first</x:t>
  </x:si>
  <x:si>
    <x:t xml:space="preserve">https://fastapi.tiangolo.com/zh/tutorial/first-steps/</x:t>
  </x:si>
  <x:si>
    <x:t xml:space="preserve">启动已有服务、读取 /docs、实际发送 HTTP 请求；无需重新通读基础教程。</x:t>
  </x:si>
  <x:si>
    <x:t xml:space="preserve">fastapi-body</x:t>
  </x:si>
  <x:si>
    <x:t xml:space="preserve">https://fastapi.tiangolo.com/zh/tutorial/body/</x:t>
  </x:si>
  <x:si>
    <x:t xml:space="preserve">请求模型、字段校验及 422 错误；用于数据分析与聊天接口。</x:t>
  </x:si>
  <x:si>
    <x:t xml:space="preserve">fastapi-errors</x:t>
  </x:si>
  <x:si>
    <x:t xml:space="preserve">https://fastapi.tiangolo.com/zh/tutorial/handling-errors/</x:t>
  </x:si>
  <x:si>
    <x:t xml:space="preserve">用 HTTPException 返回业务错误，区分输入错误与服务故障。</x:t>
  </x:si>
  <x:si>
    <x:t xml:space="preserve">fastapi-test</x:t>
  </x:si>
  <x:si>
    <x:t xml:space="preserve">https://fastapi.tiangolo.com/zh/tutorial/testing/</x:t>
  </x:si>
  <x:si>
    <x:t xml:space="preserve">TestClient、正常及错误路径；后续仍要补真实 HTTP 检查。</x:t>
  </x:si>
  <x:si>
    <x:t xml:space="preserve">fastapi-cors</x:t>
  </x:si>
  <x:si>
    <x:t xml:space="preserve">FastAPI：跨域</x:t>
  </x:si>
  <x:si>
    <x:t xml:space="preserve">https://fastapi.tiangolo.com/zh/tutorial/cors/</x:t>
  </x:si>
  <x:si>
    <x:t xml:space="preserve">仅在前后端分离需要时配置允许来源，避免任意开放。</x:t>
  </x:si>
  <x:si>
    <x:t xml:space="preserve">pandas-missing</x:t>
  </x:si>
  <x:si>
    <x:t xml:space="preserve">pandas：缺失数据</x:t>
  </x:si>
  <x:si>
    <x:t xml:space="preserve">https://pandas.pydata.org/docs/user_guide/missing_data.html</x:t>
  </x:si>
  <x:si>
    <x:t xml:space="preserve">只读缺失值识别与处理部分，补可复现清洗，不重学 Pandas。</x:t>
  </x:si>
  <x:si>
    <x:t xml:space="preserve">pandas-io</x:t>
  </x:si>
  <x:si>
    <x:t xml:space="preserve">https://pandas.pydata.org/docs/user_guide/io.html</x:t>
  </x:si>
  <x:si>
    <x:t xml:space="preserve">read_csv、to_csv、dtype 与输出路径；保留原数据。</x:t>
  </x:si>
  <x:si>
    <x:t xml:space="preserve">python-venv</x:t>
  </x:si>
  <x:si>
    <x:t xml:space="preserve">https://docs.python.org/zh-cn/3/library/venv.html</x:t>
  </x:si>
  <x:si>
    <x:t xml:space="preserve">为两个 Demo 建独立环境并记录安装、启动命令。</x:t>
  </x:si>
  <x:si>
    <x:t xml:space="preserve">python-logging</x:t>
  </x:si>
  <x:si>
    <x:t xml:space="preserve">https://docs.python.org/zh-cn/3/howto/logging.html</x:t>
  </x:si>
  <x:si>
    <x:t xml:space="preserve">日志级别、结构化字段与错误上下文；避免记录密钥及敏感正文。</x:t>
  </x:si>
  <x:si>
    <x:t xml:space="preserve">python-sqlite</x:t>
  </x:si>
  <x:si>
    <x:t xml:space="preserve">https://docs.python.org/zh-cn/3/library/sqlite3.html</x:t>
  </x:si>
  <x:si>
    <x:t xml:space="preserve">只读 URI、set_authorizer、set_progress_handler；只用于工具集成与安全限制。</x:t>
  </x:si>
  <x:si>
    <x:t xml:space="preserve">deepseek-first</x:t>
  </x:si>
  <x:si>
    <x:t xml:space="preserve">https://api-docs.deepseek.com/zh-cn/</x:t>
  </x:si>
  <x:si>
    <x:t xml:space="preserve">沿用现有兼容 SDK 和模型配置，核对基础调用参数。</x:t>
  </x:si>
  <x:si>
    <x:t xml:space="preserve">deepseek-stream</x:t>
  </x:si>
  <x:si>
    <x:t xml:space="preserve">https://api-docs.deepseek.com/zh-cn/api/create-chat-completion</x:t>
  </x:si>
  <x:si>
    <x:t xml:space="preserve">阅读 stream 与分块响应字段；处理空增量、结束和异常。</x:t>
  </x:si>
  <x:si>
    <x:t xml:space="preserve">deepseek-errors</x:t>
  </x:si>
  <x:si>
    <x:t xml:space="preserve">https://api-docs.deepseek.com/zh-cn/quick_start/error_codes</x:t>
  </x:si>
  <x:si>
    <x:t xml:space="preserve">超时、限流、认证失败的分类处理与有限重试。</x:t>
  </x:si>
  <x:si>
    <x:t xml:space="preserve">deepseek-json</x:t>
  </x:si>
  <x:si>
    <x:t xml:space="preserve">https://api-docs.deepseek.com/zh-cn/guides/json_mode</x:t>
  </x:si>
  <x:si>
    <x:t xml:space="preserve">JSON 输出要求、提示词说明、空输出及本地结构校验。</x:t>
  </x:si>
  <x:si>
    <x:t xml:space="preserve">deepseek-tools</x:t>
  </x:si>
  <x:si>
    <x:t xml:space="preserve">https://api-docs.deepseek.com/zh-cn/guides/tool_calls</x:t>
  </x:si>
  <x:si>
    <x:t xml:space="preserve">工具 schema、tool_call_id、执行工具后回传结果；先做单工具。</x:t>
  </x:si>
  <x:si>
    <x:t xml:space="preserve">deepseek-price</x:t>
  </x:si>
  <x:si>
    <x:t xml:space="preserve">https://api-docs.deepseek.com/zh-cn/quick_start/pricing</x:t>
  </x:si>
  <x:si>
    <x:t xml:space="preserve">按实际调用返回的 token 用量和当天公开价格估算成本。</x:t>
  </x:si>
  <x:si>
    <x:t xml:space="preserve">st-similarity</x:t>
  </x:si>
  <x:si>
    <x:t xml:space="preserve">https://www.sbert.net/docs/sentence_transformer/usage/semantic_textual_similarity.html</x:t>
  </x:si>
  <x:si>
    <x:t xml:space="preserve">编码文本、相似度矩阵、中文适用模型与 CPU 运行。</x:t>
  </x:si>
  <x:si>
    <x:t xml:space="preserve">st-search</x:t>
  </x:si>
  <x:si>
    <x:t xml:space="preserve">https://www.sbert.net/examples/sentence_transformer/applications/semantic-search/README.html</x:t>
  </x:si>
  <x:si>
    <x:t xml:space="preserve">query/document 编码、top-k 检索；不要求训练模型。</x:t>
  </x:si>
  <x:si>
    <x:t xml:space="preserve">chunking</x:t>
  </x:si>
  <x:si>
    <x:t xml:space="preserve">https://learn.microsoft.com/zh-cn/azure/search/vector-search-how-to-chunk-documents</x:t>
  </x:si>
  <x:si>
    <x:t xml:space="preserve">按标题/长度切分、重叠、元数据与分块权衡；原则可用于本地项目。</x:t>
  </x:si>
  <x:si>
    <x:t xml:space="preserve">chroma</x:t>
  </x:si>
  <x:si>
    <x:t xml:space="preserve">https://docs.trychroma.com/docs/overview/getting-started</x:t>
  </x:si>
  <x:si>
    <x:t xml:space="preserve">collection、持久化、upsert、query 与元数据过滤；只读需要的小节。</x:t>
  </x:si>
  <x:si>
    <x:t xml:space="preserve">rag-overview</x:t>
  </x:si>
  <x:si>
    <x:t xml:space="preserve">https://learn.microsoft.com/zh-cn/azure/search/retrieval-augmented-generation-overview</x:t>
  </x:si>
  <x:si>
    <x:t xml:space="preserve">检索、上下文、生成与引用的职责边界；无需订阅 Azure。</x:t>
  </x:si>
  <x:si>
    <x:t xml:space="preserve">streamlit-chat</x:t>
  </x:si>
  <x:si>
    <x:t xml:space="preserve">https://docs.streamlit.io/develop/tutorials/chat-and-llm-apps/build-conversational-apps</x:t>
  </x:si>
  <x:si>
    <x:t xml:space="preserve">聊天输入、聊天消息与展示流式回答；沿用 DeepSeek 客户端。</x:t>
  </x:si>
  <x:si>
    <x:t xml:space="preserve">streamlit-state</x:t>
  </x:si>
  <x:si>
    <x:t xml:space="preserve">https://docs.streamlit.io/develop/api-reference/caching-and-state/st.session_state</x:t>
  </x:si>
  <x:si>
    <x:t xml:space="preserve">会话隔离、重置和状态生命周期。</x:t>
  </x:si>
  <x:si>
    <x:t xml:space="preserve">streamlit-cache</x:t>
  </x:si>
  <x:si>
    <x:t xml:space="preserve">Streamlit：缓存</x:t>
  </x:si>
  <x:si>
    <x:t xml:space="preserve">https://docs.streamlit.io/develop/concepts/architecture/caching</x:t>
  </x:si>
  <x:si>
    <x:t xml:space="preserve">模型/索引资源缓存与数据缓存的区别；只在实测有收益时使用。</x:t>
  </x:si>
  <x:si>
    <x:t xml:space="preserve">pytest</x:t>
  </x:si>
  <x:si>
    <x:t xml:space="preserve">https://docs.pytest.org/en/stable/getting-started.html</x:t>
  </x:si>
  <x:si>
    <x:t xml:space="preserve">断言、测试发现、异常验证和临时目录；测试关键业务行为。</x:t>
  </x:si>
  <x:si>
    <x:t xml:space="preserve">owasp-injection</x:t>
  </x:si>
  <x:si>
    <x:t xml:space="preserve">https://genai.owasp.org/llmrisk/llm01-prompt-injection/</x:t>
  </x:si>
  <x:si>
    <x:t xml:space="preserve">不可信文档/工具结果与指令边界，设计对抗用例。</x:t>
  </x:si>
  <x:si>
    <x:t xml:space="preserve">owasp-excess</x:t>
  </x:si>
  <x:si>
    <x:t xml:space="preserve">https://genai.owasp.org/llmrisk/llm062025-excessive-agency/</x:t>
  </x:si>
  <x:si>
    <x:t xml:space="preserve">最小工具权限、限定循环和人工控制；本计划仅开放只读操作。</x:t>
  </x:si>
  <x:si>
    <x:t xml:space="preserve">docker-start</x:t>
  </x:si>
  <x:si>
    <x:t xml:space="preserve">https://docs.docker.com/get-started/workshop/</x:t>
  </x:si>
  <x:si>
    <x:t xml:space="preserve">镜像、容器、端口映射、卷；以现有 API 为例。</x:t>
  </x:si>
  <x:si>
    <x:t xml:space="preserve">fastapi-docker</x:t>
  </x:si>
  <x:si>
    <x:t xml:space="preserve">https://fastapi.tiangolo.com/zh/deployment/docker/</x:t>
  </x:si>
  <x:si>
    <x:t xml:space="preserve">Dockerfile、依赖安装、启动命令与部署边界。</x:t>
  </x:si>
  <x:si>
    <x:t xml:space="preserve">github-actions</x:t>
  </x:si>
  <x:si>
    <x:t xml:space="preserve">https://docs.github.com/zh/actions/use-cases-and-examples/building-and-testing/building-and-testing-python</x:t>
  </x:si>
  <x:si>
    <x:t xml:space="preserve">在 CI 安装依赖并运行离线测试，不向工作流写入密钥。</x:t>
  </x:si>
  <x:si>
    <x:t xml:space="preserve">github-readme</x:t>
  </x:si>
  <x:si>
    <x:t xml:space="preserve">https://docs.github.com/zh/repositories/managing-your-repositorys-settings-and-features/customizing-your-repository/about-readmes</x:t>
  </x:si>
  <x:si>
    <x:t xml:space="preserve">项目目的、运行说明、示例与支持方式。</x:t>
  </x:si>
  <x:si>
    <x:t xml:space="preserve">github-profile</x:t>
  </x:si>
  <x:si>
    <x:t xml:space="preserve">https://docs.github.com/zh/account-and-profile/setting-up-and-managing-your-github-profile/customizing-your-profile/managing-your-profile-readme</x:t>
  </x:si>
  <x:si>
    <x:t xml:space="preserve">展示项目入口、能力证据与联系方式；不要求公开私人资料。</x:t>
  </x:si>
  <x:si>
    <x:t xml:space="preserve">github-secret</x:t>
  </x:si>
  <x:si>
    <x:t xml:space="preserve">https://docs.github.com/zh/authentication/keeping-your-account-and-data-secure/removing-sensitive-data-from-a-repository</x:t>
  </x:si>
  <x:si>
    <x:t xml:space="preserve">阅读预防泄露建议；若发现历史密钥先撤销轮换，勿直接公开仓库。</x:t>
  </x:si>
  <x:si>
    <x:t xml:space="preserve">well-architected</x:t>
  </x:si>
  <x:si>
    <x:t xml:space="preserve">https://learn.microsoft.com/zh-cn/azure/well-architected/what-is-well-architected-framework</x:t>
  </x:si>
  <x:si>
    <x:t xml:space="preserve">可靠性、安全、成本、运维与性能五方面，用于小型企业方案。</x:t>
  </x:si>
  <x:si>
    <x:t xml:space="preserve">solution-role</x:t>
  </x:si>
  <x:si>
    <x:t xml:space="preserve">https://learn.microsoft.com/zh-cn/training/career-paths/solution-architect</x:t>
  </x:si>
  <x:si>
    <x:t xml:space="preserve">仅参考需求、架构、协作与交付能力；不把高级架构师岗位作为入门承诺。</x:t>
  </x:si>
  <x:si>
    <x:t xml:space="preserve">azure-cost</x:t>
  </x:si>
  <x:si>
    <x:t xml:space="preserve">https://learn.microsoft.com/zh-cn/azure/well-architected/cost-optimization/principles</x:t>
  </x:si>
  <x:si>
    <x:t xml:space="preserve">成本假设、预算和持续计量；本地 Demo 可零云费用。</x:t>
  </x:si>
  <x:si>
    <x:t xml:space="preserve">azure-reliability</x:t>
  </x:si>
  <x:si>
    <x:t xml:space="preserve">https://learn.microsoft.com/zh-cn/azure/well-architected/reliability/principles</x:t>
  </x:si>
  <x:si>
    <x:t xml:space="preserve">故障模式、恢复与运行说明；不照搬企业级复杂度。</x:t>
  </x:si>
  <x:si>
    <x:t xml:space="preserve">azure-operations</x:t>
  </x:si>
  <x:si>
    <x:t xml:space="preserve">https://learn.microsoft.com/zh-cn/azure/well-architected/operational-excellence/principles</x:t>
  </x:si>
  <x:si>
    <x:t xml:space="preserve">交付、观测、变更与反馈；用于验收和实施计划。</x:t>
  </x:si>
  <x:si>
    <x:t xml:space="preserve">star</x:t>
  </x:si>
  <x:si>
    <x:t xml:space="preserve">https://nationalcareers.service.gov.uk/careers-advice/interview-advice/the-star-method</x:t>
  </x:si>
  <x:si>
    <x:t xml:space="preserve">按情境、任务、行动、结果表达真实项目经历；禁止编造客户和业绩。</x:t>
  </x:si>
  <x:si>
    <x:t xml:space="preserve">cv</x:t>
  </x:si>
  <x:si>
    <x:t xml:space="preserve">https://nationalcareers.service.gov.uk/careers-advice/cv-sections</x:t>
  </x:si>
  <x:si>
    <x:t xml:space="preserve">按岗位组织技能和可验证成果，替换泛泛的熟悉/精通。</x:t>
  </x:si>
  <x:si>
    <x:t xml:space="preserve">interview</x:t>
  </x:si>
  <x:si>
    <x:t xml:space="preserve">https://nationalcareers.service.gov.uk/careers-advice/interview-advice</x:t>
  </x:si>
  <x:si>
    <x:t xml:space="preserve">准备岗位、项目解释、问题与面后复盘。</x:t>
  </x:si>
  <x:si>
    <x:t xml:space="preserve">sqlalchemy-orm</x:t>
  </x:si>
  <x:si>
    <x:t xml:space="preserve">https://docs.sqlalchemy.org/en/20/orm/quickstart.html</x:t>
  </x:si>
  <x:si>
    <x:t xml:space="preserve">Mapped/mapped_column、DeclarativeBase、engine、Session、select和持久化CRUD；跳过SQL语法复习。</x:t>
  </x:si>
  <x:si>
    <x:t xml:space="preserve">sqlalchemy-session</x:t>
  </x:si>
  <x:si>
    <x:t xml:space="preserve">https://docs.sqlalchemy.org/en/20/orm/session_basics.html</x:t>
  </x:si>
  <x:si>
    <x:t xml:space="preserve">Session生命周期、flush与commit、rollback、事务上下文；一个请求一个Session。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</x:si>
</x:sst>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.0"/>
  </x:numFmts>
  <x:fonts count="27">
    <x:font>
      <x:sz val="11"/>
      <x:name val="Carlito"/>
    </x:font>
    <x:font>
      <x:sz val="11"/>
      <x:color rgb="FF23314B"/>
      <x:name val="Microsoft YaHei"/>
    </x:font>
    <x:font>
      <x:b/>
      <x:sz val="16"/>
      <x:color rgb="FF23314B"/>
      <x:name val="Microsoft YaHei"/>
    </x:font>
    <x:font>
      <x:i/>
      <x:sz val="11"/>
      <x:color rgb="FF66758A"/>
      <x:name val="Microsoft YaHei"/>
    </x:font>
    <x:font>
      <x:b/>
      <x:sz val="11"/>
      <x:color rgb="FFFFFFFF"/>
      <x:name val="Microsoft YaHei"/>
    </x:font>
    <x:font>
      <x:sz val="11"/>
      <x:color rgb="FF1A5FB4"/>
      <x:name val="Microsoft YaHei"/>
    </x:font>
    <x:font>
      <x:sz val="11"/>
      <x:color rgb="FF66758A"/>
      <x:name val="Microsoft YaHei"/>
    </x:font>
    <x:font>
      <x:b/>
      <x:sz val="11"/>
      <x:color rgb="FF23314B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25466A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4D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rgb="FFD5DDE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8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5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6" applyNumberFormat="0" applyFill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8" applyNumberFormat="0" applyAlignment="0" applyProtection="0">
      <x:alignment vertical="center"/>
    </x:xf>
    <x:xf numFmtId="0" fontId="18" fillId="8" borderId="9" applyNumberFormat="0" applyAlignment="0" applyProtection="0">
      <x:alignment vertical="center"/>
    </x:xf>
    <x:xf numFmtId="0" fontId="19" fillId="8" borderId="8" applyNumberFormat="0" applyAlignment="0" applyProtection="0">
      <x:alignment vertical="center"/>
    </x:xf>
    <x:xf numFmtId="0" fontId="20" fillId="9" borderId="10" applyNumberFormat="0" applyAlignment="0" applyProtection="0">
      <x:alignment vertical="center"/>
    </x:xf>
    <x:xf numFmtId="0" fontId="21" fillId="0" borderId="11" applyNumberFormat="0" applyFill="0" applyAlignment="0" applyProtection="0">
      <x:alignment vertical="center"/>
    </x:xf>
    <x:xf numFmtId="0" fontId="22" fillId="0" borderId="12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8" fillId="14" borderId="0" applyNumberFormat="0" applyBorder="0" applyAlignment="0" applyProtection="0">
      <x:alignment vertical="center"/>
    </x:xf>
    <x:xf numFmtId="0" fontId="8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8" fillId="18" borderId="0" applyNumberFormat="0" applyBorder="0" applyAlignment="0" applyProtection="0">
      <x:alignment vertical="center"/>
    </x:xf>
    <x:xf numFmtId="0" fontId="8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8" fillId="22" borderId="0" applyNumberFormat="0" applyBorder="0" applyAlignment="0" applyProtection="0">
      <x:alignment vertical="center"/>
    </x:xf>
    <x:xf numFmtId="0" fontId="8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8" fillId="26" borderId="0" applyNumberFormat="0" applyBorder="0" applyAlignment="0" applyProtection="0">
      <x:alignment vertical="center"/>
    </x:xf>
    <x:xf numFmtId="0" fontId="8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8" fillId="30" borderId="0" applyNumberFormat="0" applyBorder="0" applyAlignment="0" applyProtection="0">
      <x:alignment vertical="center"/>
    </x:xf>
    <x:xf numFmtId="0" fontId="8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8" fillId="34" borderId="0" applyNumberFormat="0" applyBorder="0" applyAlignment="0" applyProtection="0">
      <x:alignment vertical="center"/>
    </x:xf>
    <x:xf numFmtId="0" fontId="8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  <x:xf numFmtId="0" fontId="0" fillId="0" borderId="0"/>
  </x:cellStyleXfs>
  <x:cellXfs count="39">
    <x:xf numFmtId="0" fontId="0" fillId="0" borderId="0" xfId="49"/>
    <x:xf numFmtId="0" fontId="1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3" fillId="0" borderId="1" xfId="49" applyNumberFormat="1" applyFont="1" applyFill="1" applyBorder="1" applyAlignment="1">
      <x:alignment vertical="center"/>
    </x:xf>
    <x:xf numFmtId="0" fontId="1" fillId="0" borderId="1" xfId="49" applyNumberFormat="1" applyFont="1" applyFill="1" applyBorder="1" applyAlignment="1">
      <x:alignment vertical="center"/>
    </x:xf>
    <x:xf numFmtId="0" fontId="4" fillId="2" borderId="2" xfId="49" applyNumberFormat="1" applyFont="1" applyFill="1" applyBorder="1" applyAlignment="1">
      <x:alignment horizontal="center" vertical="center" wrapText="1"/>
    </x:xf>
    <x:xf numFmtId="0" fontId="4" fillId="2" borderId="3" xfId="49" applyNumberFormat="1" applyFont="1" applyFill="1" applyBorder="1" applyAlignment="1">
      <x:alignment horizontal="center" vertical="center" wrapText="1"/>
    </x:xf>
    <x:xf numFmtId="0" fontId="4" fillId="2" borderId="4" xfId="49" applyNumberFormat="1" applyFont="1" applyFill="1" applyBorder="1" applyAlignment="1">
      <x:alignment horizontal="center" vertical="center" wrapText="1"/>
    </x:xf>
    <x:xf numFmtId="0" fontId="1" fillId="3" borderId="0" xfId="49" applyNumberFormat="1" applyFont="1" applyFill="1" applyBorder="1" applyAlignment="1">
      <x:alignment vertical="top" wrapText="1"/>
    </x:xf>
    <x:xf numFmtId="0" fontId="5" fillId="3" borderId="0" xfId="49" applyNumberFormat="1" applyFont="1" applyFill="1" applyBorder="1" applyAlignment="1">
      <x:alignment vertical="top" wrapText="1"/>
    </x:xf>
    <x:xf numFmtId="0" fontId="1" fillId="4" borderId="0" xfId="49" applyNumberFormat="1" applyFont="1" applyFill="1" applyBorder="1" applyAlignment="1">
      <x:alignment vertical="top" wrapText="1"/>
    </x:xf>
    <x:xf numFmtId="0" fontId="5" fillId="4" borderId="0" xfId="49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" fillId="3" borderId="0" xfId="49" applyNumberFormat="1" applyFont="1" applyFill="1" applyBorder="1" applyAlignment="1">
      <x:alignment horizontal="center" vertical="top" wrapText="1"/>
    </x:xf>
    <x:xf numFmtId="0" fontId="1" fillId="5" borderId="0" xfId="49" applyNumberFormat="1" applyFont="1" applyFill="1" applyBorder="1" applyAlignment="1">
      <x:alignment horizontal="center" vertical="top" wrapText="1"/>
    </x:xf>
    <x:xf numFmtId="176" fontId="1" fillId="5" borderId="0" xfId="49" applyNumberFormat="1" applyFont="1" applyFill="1" applyBorder="1" applyAlignment="1">
      <x:alignment horizontal="center" vertical="top" wrapText="1"/>
    </x:xf>
    <x:xf numFmtId="0" fontId="1" fillId="5" borderId="0" xfId="49" applyNumberFormat="1" applyFont="1" applyFill="1" applyBorder="1" applyAlignment="1">
      <x:alignment vertical="top" wrapText="1"/>
    </x:xf>
    <x:xf numFmtId="176" fontId="1" fillId="3" borderId="0" xfId="49" applyNumberFormat="1" applyFont="1" applyFill="1" applyBorder="1" applyAlignment="1">
      <x:alignment horizontal="center" vertical="top" wrapText="1"/>
    </x:xf>
    <x:xf numFmtId="177" fontId="1" fillId="3" borderId="0" xfId="49" applyNumberFormat="1" applyFont="1" applyFill="1" applyBorder="1" applyAlignment="1">
      <x:alignment horizontal="center" vertical="top" wrapText="1"/>
    </x:xf>
    <x:xf numFmtId="177" fontId="1" fillId="5" borderId="0" xfId="49" applyNumberFormat="1" applyFont="1" applyFill="1" applyBorder="1" applyAlignment="1">
      <x:alignment horizontal="right" vertical="top" wrapText="1"/>
    </x:xf>
    <x:xf numFmtId="0" fontId="1" fillId="4" borderId="0" xfId="49" applyNumberFormat="1" applyFont="1" applyFill="1" applyBorder="1" applyAlignment="1">
      <x:alignment horizontal="center" vertical="top" wrapText="1"/>
    </x:xf>
    <x:xf numFmtId="176" fontId="1" fillId="4" borderId="0" xfId="49" applyNumberFormat="1" applyFont="1" applyFill="1" applyBorder="1" applyAlignment="1">
      <x:alignment horizontal="center" vertical="top" wrapText="1"/>
    </x:xf>
    <x:xf numFmtId="177" fontId="1" fillId="4" borderId="0" xfId="49" applyNumberFormat="1" applyFont="1" applyFill="1" applyBorder="1" applyAlignment="1">
      <x:alignment horizontal="center" vertical="top" wrapText="1"/>
    </x:xf>
    <x:xf numFmtId="0" fontId="6" fillId="0" borderId="0" xfId="49" applyNumberFormat="1" applyFont="1" applyFill="1" applyBorder="1" applyAlignment="1">
      <x:alignment vertical="center"/>
    </x:xf>
    <x:xf numFmtId="0" fontId="1" fillId="4" borderId="0" xfId="49" applyNumberFormat="1" applyFont="1" applyFill="1" applyBorder="1" applyAlignment="1">
      <x:alignment vertical="center"/>
    </x:xf>
    <x:xf numFmtId="0" fontId="7" fillId="4" borderId="0" xfId="49" applyNumberFormat="1" applyFont="1" applyFill="1" applyBorder="1" applyAlignment="1">
      <x:alignment horizontal="center" vertical="center"/>
    </x:xf>
    <x:xf numFmtId="9" fontId="7" fillId="4" borderId="0" xfId="49" applyNumberFormat="1" applyFont="1" applyFill="1" applyBorder="1" applyAlignment="1">
      <x:alignment horizontal="center" vertical="center"/>
    </x:xf>
    <x:xf numFmtId="177" fontId="7" fillId="4" borderId="0" xfId="49" applyNumberFormat="1" applyFont="1" applyFill="1" applyBorder="1" applyAlignment="1">
      <x:alignment horizontal="center" vertical="center"/>
    </x:xf>
    <x:xf numFmtId="176" fontId="7" fillId="4" borderId="0" xfId="49" applyNumberFormat="1" applyFont="1" applyFill="1" applyBorder="1" applyAlignment="1">
      <x:alignment horizontal="center" vertical="center"/>
    </x:xf>
    <x:xf numFmtId="0" fontId="7" fillId="0" borderId="0" xfId="49" applyNumberFormat="1" applyFont="1" applyFill="1" applyBorder="1" applyAlignment="1">
      <x:alignment vertical="center"/>
    </x:xf>
    <x:xf numFmtId="0" fontId="1" fillId="0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9" fontId="1" fillId="0" borderId="0" xfId="49" applyNumberFormat="1" applyFont="1" applyFill="1" applyBorder="1" applyAlignment="1">
      <x:alignment horizontal="center" vertical="center" wrapText="1"/>
    </x:xf>
    <x:xf numFmtId="0" fontId="1" fillId="4" borderId="0" xfId="49" applyNumberFormat="1" applyFont="1" applyFill="1" applyBorder="1" applyAlignment="1">
      <x:alignment horizontal="center" vertical="center" wrapText="1"/>
    </x:xf>
    <x:xf numFmtId="0" fontId="1" fillId="4" borderId="0" xfId="49" applyNumberFormat="1" applyFont="1" applyFill="1" applyBorder="1" applyAlignment="1">
      <x:alignment vertical="center" wrapText="1"/>
    </x:xf>
    <x:xf numFmtId="9" fontId="1" fillId="4" borderId="0" xfId="49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color rgb="FF66758A"/>
      </x:font>
      <x:fill>
        <x:patternFill>
          <x:bgColor rgb="FFF0F2F5"/>
        </x:patternFill>
      </x:fill>
    </x:dxf>
    <x:dxf>
      <x:font>
        <x:color rgb="FF8B5900"/>
      </x:font>
      <x:fill>
        <x:patternFill>
          <x:bgColor rgb="FFFFF0C2"/>
        </x:patternFill>
      </x:fill>
    </x:dxf>
    <x:dxf>
      <x:font>
        <x:b/>
        <x:color rgb="FF24633D"/>
      </x:font>
      <x:fill>
        <x:patternFill>
          <x:bgColor rgb="FFE5F2E9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fe10007714261" /><Relationship Type="http://schemas.openxmlformats.org/officeDocument/2006/relationships/theme" Target="/xl/theme/theme1.xml" Id="Rbe3a72c5a9cc4243" /><Relationship Type="http://schemas.openxmlformats.org/officeDocument/2006/relationships/sharedStrings" Target="/xl/sharedStrings.xml" Id="R546da8f48c174e12" /><Relationship Type="http://schemas.openxmlformats.org/officeDocument/2006/relationships/worksheet" Target="/xl/worksheets/sheet1.xml" Id="Rcc9160d937f94f2c" /><Relationship Type="http://schemas.openxmlformats.org/officeDocument/2006/relationships/worksheet" Target="/xl/worksheets/sheet2.xml" Id="Rbf7ae517e7c94541" /><Relationship Type="http://schemas.openxmlformats.org/officeDocument/2006/relationships/worksheet" Target="/xl/worksheets/sheet3.xml" Id="Rdf7c4ae678234a4e" /></Relationships>
</file>

<file path=xl/tables/table1.xml><?xml version="1.0" encoding="utf-8"?>
<x:table xmlns:x="http://schemas.openxmlformats.org/spreadsheetml/2006/main" id="1" name="DailyPlan" displayName="DailyPlan" ref="A5:Q75" totalsRowShown="0">
  <x:autoFilter ref="A5:Q75"/>
  <x:tableColumns count="17">
    <x:tableColumn id="1" name="Day"/>
    <x:tableColumn id="2" name="周次"/>
    <x:tableColumn id="3" name="阶段"/>
    <x:tableColumn id="4" name="学习主题"/>
    <x:tableColumn id="5" name="今日任务"/>
    <x:tableColumn id="6" name="今日产出"/>
    <x:tableColumn id="7" name="验收标准"/>
    <x:tableColumn id="8" name="完成状态"/>
    <x:tableColumn id="9" name="完成日期"/>
    <x:tableColumn id="10" name="备注"/>
    <x:tableColumn id="11" name="计划日期"/>
    <x:tableColumn id="12" name="计划小时"/>
    <x:tableColumn id="13" name="资料 1"/>
    <x:tableColumn id="14" name="资料 2"/>
    <x:tableColumn id="15" name="证据"/>
    <x:tableColumn id="16" name="原计划映射"/>
    <x:tableColumn id="17" name="实际小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arningResources" displayName="LearningResources" ref="A5:D48" totalsRowShown="0">
  <x:autoFilter ref="A5:D48"/>
  <x:tableColumns count="4">
    <x:tableColumn id="1" name="编号"/>
    <x:tableColumn id="2" name="资料名称"/>
    <x:tableColumn id="3" name="链接"/>
    <x:tableColumn id="4" name="推荐阅读部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fastapi.tiangolo.com/zh/tutorial/first-steps/" TargetMode="External" Id="R9396a763d8bb4211" /><Relationship Type="http://schemas.openxmlformats.org/officeDocument/2006/relationships/hyperlink" Target="https://fastapi.tiangolo.com/zh/tutorial/body/" TargetMode="External" Id="Raaaac5de0f834df9" /><Relationship Type="http://schemas.openxmlformats.org/officeDocument/2006/relationships/hyperlink" Target="https://docs.sqlalchemy.org/en/20/orm/quickstart.html" TargetMode="External" Id="Rb54b0c1ddce045ac" /><Relationship Type="http://schemas.openxmlformats.org/officeDocument/2006/relationships/hyperlink" Target="https://docs.sqlalchemy.org/en/20/orm/session_basics.html" TargetMode="External" Id="R3f6807ddb0104775" /><Relationship Type="http://schemas.openxmlformats.org/officeDocument/2006/relationships/hyperlink" Target="https://docs.sqlalchemy.org/en/20/orm/session_basics.html" TargetMode="External" Id="Rfa4ea6d0356e471f" /><Relationship Type="http://schemas.openxmlformats.org/officeDocument/2006/relationships/hyperlink" Target="https://fastapi.tiangolo.com/zh/tutorial/body/" TargetMode="External" Id="R0227835c23994d45" /><Relationship Type="http://schemas.openxmlformats.org/officeDocument/2006/relationships/hyperlink" Target="https://api-docs.deepseek.com/zh-cn/api/create-chat-completion" TargetMode="External" Id="R5787e49ad8794533" /><Relationship Type="http://schemas.openxmlformats.org/officeDocument/2006/relationships/hyperlink" Target="https://api-docs.deepseek.com/zh-cn/quick_start/error_codes" TargetMode="External" Id="R51bf58a2a9824086" /><Relationship Type="http://schemas.openxmlformats.org/officeDocument/2006/relationships/hyperlink" Target="https://api-docs.deepseek.com/zh-cn/guides/json_mode" TargetMode="External" Id="R75da0ae08d6a432b" /><Relationship Type="http://schemas.openxmlformats.org/officeDocument/2006/relationships/hyperlink" Target="https://fastapi.tiangolo.com/zh/tutorial/body/" TargetMode="External" Id="R11f8661d2efe4211" /><Relationship Type="http://schemas.openxmlformats.org/officeDocument/2006/relationships/hyperlink" Target="https://learn.microsoft.com/zh-cn/training/career-paths/solution-architect" TargetMode="External" Id="R4a55a09218c84d77" /><Relationship Type="http://schemas.openxmlformats.org/officeDocument/2006/relationships/hyperlink" Target="https://learn.microsoft.com/zh-cn/azure/search/retrieval-augmented-generation-overview" TargetMode="External" Id="Rf5e143736f814b61" /><Relationship Type="http://schemas.openxmlformats.org/officeDocument/2006/relationships/hyperlink" Target="https://fastapi.tiangolo.com/zh/tutorial/testing/" TargetMode="External" Id="Rfcb57c29b6784c21" /><Relationship Type="http://schemas.openxmlformats.org/officeDocument/2006/relationships/hyperlink" Target="https://docs.github.com/zh/repositories/managing-your-repositorys-settings-and-features/customizing-your-repository/about-readmes" TargetMode="External" Id="R09fd2797d47f4c23" /><Relationship Type="http://schemas.openxmlformats.org/officeDocument/2006/relationships/hyperlink" Target="https://www.sbert.net/docs/sentence_transformer/usage/semantic_textual_similarity.html" TargetMode="External" Id="R85d270f2b18f47ee" /><Relationship Type="http://schemas.openxmlformats.org/officeDocument/2006/relationships/hyperlink" Target="https://learn.microsoft.com/zh-cn/azure/search/vector-search-how-to-chunk-documents" TargetMode="External" Id="R05398e0acae543e0" /><Relationship Type="http://schemas.openxmlformats.org/officeDocument/2006/relationships/hyperlink" Target="https://docs.trychroma.com/docs/overview/getting-started" TargetMode="External" Id="R52d8b165a5bb4a33" /><Relationship Type="http://schemas.openxmlformats.org/officeDocument/2006/relationships/hyperlink" Target="https://www.sbert.net/examples/sentence_transformer/applications/semantic-search/README.html" TargetMode="External" Id="R9cc524240ef34f72" /><Relationship Type="http://schemas.openxmlformats.org/officeDocument/2006/relationships/hyperlink" Target="https://docs.trychroma.com/docs/overview/getting-started" TargetMode="External" Id="R39232968ce5e46c8" /><Relationship Type="http://schemas.openxmlformats.org/officeDocument/2006/relationships/hyperlink" Target="https://learn.microsoft.com/zh-cn/azure/search/retrieval-augmented-generation-overview" TargetMode="External" Id="Rd47d18c2b2d64aee" /><Relationship Type="http://schemas.openxmlformats.org/officeDocument/2006/relationships/hyperlink" Target="https://api-docs.deepseek.com/zh-cn/" TargetMode="External" Id="R514d9fe67c6a44c9" /><Relationship Type="http://schemas.openxmlformats.org/officeDocument/2006/relationships/hyperlink" Target="https://fastapi.tiangolo.com/zh/tutorial/body/" TargetMode="External" Id="R1ca95846cc374d30" /><Relationship Type="http://schemas.openxmlformats.org/officeDocument/2006/relationships/hyperlink" Target="https://fastapi.tiangolo.com/zh/tutorial/handling-errors/" TargetMode="External" Id="Rdb5e0f1d344f4978" /><Relationship Type="http://schemas.openxmlformats.org/officeDocument/2006/relationships/hyperlink" Target="https://learn.microsoft.com/zh-cn/azure/search/retrieval-augmented-generation-overview" TargetMode="External" Id="R514e3dd573934fd6" /><Relationship Type="http://schemas.openxmlformats.org/officeDocument/2006/relationships/hyperlink" Target="https://docs.github.com/zh/repositories/managing-your-repositorys-settings-and-features/customizing-your-repository/about-readmes" TargetMode="External" Id="R88a54668edf74756" /><Relationship Type="http://schemas.openxmlformats.org/officeDocument/2006/relationships/hyperlink" Target="https://learn.microsoft.com/zh-cn/azure/search/retrieval-augmented-generation-overview" TargetMode="External" Id="Rf16a92dcf0444fd7" /><Relationship Type="http://schemas.openxmlformats.org/officeDocument/2006/relationships/hyperlink" Target="https://learn.microsoft.com/zh-cn/azure/well-architected/what-is-well-architected-framework" TargetMode="External" Id="R6d0bb2b2924f4f87" /><Relationship Type="http://schemas.openxmlformats.org/officeDocument/2006/relationships/hyperlink" Target="https://docs.trychroma.com/docs/overview/getting-started" TargetMode="External" Id="R9efc7739181e4f24" /><Relationship Type="http://schemas.openxmlformats.org/officeDocument/2006/relationships/hyperlink" Target="https://learn.microsoft.com/zh-cn/azure/search/vector-search-how-to-chunk-documents" TargetMode="External" Id="R09ae11d467844607" /><Relationship Type="http://schemas.openxmlformats.org/officeDocument/2006/relationships/hyperlink" Target="https://docs.streamlit.io/develop/tutorials/chat-and-llm-apps/build-conversational-apps" TargetMode="External" Id="Ra6f327f4b4934850" /><Relationship Type="http://schemas.openxmlformats.org/officeDocument/2006/relationships/hyperlink" Target="https://docs.streamlit.io/develop/api-reference/caching-and-state/st.session_state" TargetMode="External" Id="Rce2592bc72754f45" /><Relationship Type="http://schemas.openxmlformats.org/officeDocument/2006/relationships/hyperlink" Target="https://learn.microsoft.com/zh-cn/azure/search/retrieval-augmented-generation-overview" TargetMode="External" Id="R9796551a879048e9" /><Relationship Type="http://schemas.openxmlformats.org/officeDocument/2006/relationships/hyperlink" Target="https://docs.streamlit.io/develop/tutorials/chat-and-llm-apps/build-conversational-apps" TargetMode="External" Id="Rcf6d074c4c044f84" /><Relationship Type="http://schemas.openxmlformats.org/officeDocument/2006/relationships/hyperlink" Target="https://learn.microsoft.com/zh-cn/azure/search/retrieval-augmented-generation-overview" TargetMode="External" Id="R9875e1671a8f485e" /><Relationship Type="http://schemas.openxmlformats.org/officeDocument/2006/relationships/hyperlink" Target="https://docs.pytest.org/en/stable/getting-started.html" TargetMode="External" Id="Rb241442db7584f05" /><Relationship Type="http://schemas.openxmlformats.org/officeDocument/2006/relationships/hyperlink" Target="https://docs.github.com/zh/repositories/managing-your-repositorys-settings-and-features/customizing-your-repository/about-readmes" TargetMode="External" Id="Rb9554c36e00c481f" /><Relationship Type="http://schemas.openxmlformats.org/officeDocument/2006/relationships/hyperlink" Target="https://docs.streamlit.io/develop/tutorials/chat-and-llm-apps/build-conversational-apps" TargetMode="External" Id="Rb27db3cf08924551" /><Relationship Type="http://schemas.openxmlformats.org/officeDocument/2006/relationships/hyperlink" Target="https://docs.github.com/zh/repositories/managing-your-repositorys-settings-and-features/customizing-your-repository/about-readmes" TargetMode="External" Id="R4d8429cfff314691" /><Relationship Type="http://schemas.openxmlformats.org/officeDocument/2006/relationships/hyperlink" Target="https://learn.microsoft.com/zh-cn/azure/search/retrieval-augmented-generation-overview" TargetMode="External" Id="R94a89dd8c4d049d3" /><Relationship Type="http://schemas.openxmlformats.org/officeDocument/2006/relationships/hyperlink" Target="https://www.sbert.net/examples/sentence_transformer/applications/semantic-search/README.html" TargetMode="External" Id="R648e22d4fe5343eb" /><Relationship Type="http://schemas.openxmlformats.org/officeDocument/2006/relationships/hyperlink" Target="https://docs.pytest.org/en/stable/getting-started.html" TargetMode="External" Id="R78f182d9ab1f4e7e" /><Relationship Type="http://schemas.openxmlformats.org/officeDocument/2006/relationships/hyperlink" Target="https://learn.microsoft.com/zh-cn/azure/search/vector-search-how-to-chunk-documents" TargetMode="External" Id="Rf28b8cfb93f843d2" /><Relationship Type="http://schemas.openxmlformats.org/officeDocument/2006/relationships/hyperlink" Target="https://www.sbert.net/examples/sentence_transformer/applications/semantic-search/README.html" TargetMode="External" Id="R1d03c5b946dc42f8" /><Relationship Type="http://schemas.openxmlformats.org/officeDocument/2006/relationships/hyperlink" Target="https://learn.microsoft.com/zh-cn/azure/search/retrieval-augmented-generation-overview" TargetMode="External" Id="Re5d1d7009e80477e" /><Relationship Type="http://schemas.openxmlformats.org/officeDocument/2006/relationships/hyperlink" Target="https://api-docs.deepseek.com/zh-cn/guides/json_mode" TargetMode="External" Id="R1b3fc0723dc7423b" /><Relationship Type="http://schemas.openxmlformats.org/officeDocument/2006/relationships/hyperlink" Target="https://genai.owasp.org/llmrisk/llm01-prompt-injection/" TargetMode="External" Id="Rd47ae145b0134a6d" /><Relationship Type="http://schemas.openxmlformats.org/officeDocument/2006/relationships/hyperlink" Target="https://api-docs.deepseek.com/zh-cn/quick_start/pricing" TargetMode="External" Id="Ra5f593920d344ae9" /><Relationship Type="http://schemas.openxmlformats.org/officeDocument/2006/relationships/hyperlink" Target="https://learn.microsoft.com/zh-cn/azure/search/retrieval-augmented-generation-overview" TargetMode="External" Id="Rccfcac3a49b447a0" /><Relationship Type="http://schemas.openxmlformats.org/officeDocument/2006/relationships/hyperlink" Target="https://docs.github.com/zh/repositories/managing-your-repositorys-settings-and-features/customizing-your-repository/about-readmes" TargetMode="External" Id="Rff0d8c8ebc4446f2" /><Relationship Type="http://schemas.openxmlformats.org/officeDocument/2006/relationships/hyperlink" Target="https://docs.python.org/zh-cn/3/library/venv.html" TargetMode="External" Id="R9fa33f0ace3742aa" /><Relationship Type="http://schemas.openxmlformats.org/officeDocument/2006/relationships/hyperlink" Target="https://learn.microsoft.com/zh-cn/azure/search/retrieval-augmented-generation-overview" TargetMode="External" Id="R3999166ba8ee4a8a" /><Relationship Type="http://schemas.openxmlformats.org/officeDocument/2006/relationships/hyperlink" Target="https://docs.github.com/zh/repositories/managing-your-repositorys-settings-and-features/customizing-your-repository/about-readmes" TargetMode="External" Id="R0f5879bc76044ac6" /><Relationship Type="http://schemas.openxmlformats.org/officeDocument/2006/relationships/hyperlink" Target="https://api-docs.deepseek.com/zh-cn/guides/tool_calls" TargetMode="External" Id="R779c5382c92f4352" /><Relationship Type="http://schemas.openxmlformats.org/officeDocument/2006/relationships/hyperlink" Target="https://api-docs.deepseek.com/zh-cn/guides/tool_calls" TargetMode="External" Id="R53b1ead233164903" /><Relationship Type="http://schemas.openxmlformats.org/officeDocument/2006/relationships/hyperlink" Target="https://fastapi.tiangolo.com/zh/tutorial/body/" TargetMode="External" Id="R50dc599228004e0d" /><Relationship Type="http://schemas.openxmlformats.org/officeDocument/2006/relationships/hyperlink" Target="https://docs.python.org/zh-cn/3/library/sqlite3.html" TargetMode="External" Id="R73f438d5c35347e3" /><Relationship Type="http://schemas.openxmlformats.org/officeDocument/2006/relationships/hyperlink" Target="https://genai.owasp.org/llmrisk/llm062025-excessive-agency/" TargetMode="External" Id="R67160666f3234c17" /><Relationship Type="http://schemas.openxmlformats.org/officeDocument/2006/relationships/hyperlink" Target="https://api-docs.deepseek.com/zh-cn/guides/tool_calls" TargetMode="External" Id="R86a6b1f9857b4b27" /><Relationship Type="http://schemas.openxmlformats.org/officeDocument/2006/relationships/hyperlink" Target="https://docs.python.org/zh-cn/3/library/sqlite3.html" TargetMode="External" Id="Ra7b1404f68d148ab" /><Relationship Type="http://schemas.openxmlformats.org/officeDocument/2006/relationships/hyperlink" Target="https://api-docs.deepseek.com/zh-cn/guides/tool_calls" TargetMode="External" Id="Ra1b86483cb0341fc" /><Relationship Type="http://schemas.openxmlformats.org/officeDocument/2006/relationships/hyperlink" Target="https://genai.owasp.org/llmrisk/llm062025-excessive-agency/" TargetMode="External" Id="R10f7b016dc8d468c" /><Relationship Type="http://schemas.openxmlformats.org/officeDocument/2006/relationships/hyperlink" Target="https://genai.owasp.org/llmrisk/llm01-prompt-injection/" TargetMode="External" Id="Ra0f065dc82d64f7b" /><Relationship Type="http://schemas.openxmlformats.org/officeDocument/2006/relationships/hyperlink" Target="https://docs.python.org/zh-cn/3/library/sqlite3.html" TargetMode="External" Id="Raaae1e904bcd430f" /><Relationship Type="http://schemas.openxmlformats.org/officeDocument/2006/relationships/hyperlink" Target="https://api-docs.deepseek.com/zh-cn/guides/tool_calls" TargetMode="External" Id="R0b62b23d23dc4dc4" /><Relationship Type="http://schemas.openxmlformats.org/officeDocument/2006/relationships/hyperlink" Target="https://genai.owasp.org/llmrisk/llm062025-excessive-agency/" TargetMode="External" Id="Ra469b9e34dbc4c1e" /><Relationship Type="http://schemas.openxmlformats.org/officeDocument/2006/relationships/hyperlink" Target="https://learn.microsoft.com/zh-cn/training/career-paths/solution-architect" TargetMode="External" Id="R3091b531310d4264" /><Relationship Type="http://schemas.openxmlformats.org/officeDocument/2006/relationships/hyperlink" Target="https://pandas.pydata.org/docs/user_guide/io.html" TargetMode="External" Id="R79e039ef16364174" /><Relationship Type="http://schemas.openxmlformats.org/officeDocument/2006/relationships/hyperlink" Target="https://api-docs.deepseek.com/zh-cn/guides/json_mode" TargetMode="External" Id="R12fe425d4c6b4a94" /><Relationship Type="http://schemas.openxmlformats.org/officeDocument/2006/relationships/hyperlink" Target="https://api-docs.deepseek.com/zh-cn/guides/tool_calls" TargetMode="External" Id="R3fb8fbe6deb94be6" /><Relationship Type="http://schemas.openxmlformats.org/officeDocument/2006/relationships/hyperlink" Target="https://docs.streamlit.io/develop/tutorials/chat-and-llm-apps/build-conversational-apps" TargetMode="External" Id="R24473a6719924232" /><Relationship Type="http://schemas.openxmlformats.org/officeDocument/2006/relationships/hyperlink" Target="https://pandas.pydata.org/docs/user_guide/io.html" TargetMode="External" Id="R5cda332432b84623" /><Relationship Type="http://schemas.openxmlformats.org/officeDocument/2006/relationships/hyperlink" Target="https://docs.streamlit.io/develop/tutorials/chat-and-llm-apps/build-conversational-apps" TargetMode="External" Id="R2573a138f0814698" /><Relationship Type="http://schemas.openxmlformats.org/officeDocument/2006/relationships/hyperlink" Target="https://docs.streamlit.io/develop/api-reference/caching-and-state/st.session_state" TargetMode="External" Id="R173d8f0f935c435b" /><Relationship Type="http://schemas.openxmlformats.org/officeDocument/2006/relationships/hyperlink" Target="https://docs.pytest.org/en/stable/getting-started.html" TargetMode="External" Id="R2b9ddc05d6054f40" /><Relationship Type="http://schemas.openxmlformats.org/officeDocument/2006/relationships/hyperlink" Target="https://api-docs.deepseek.com/zh-cn/guides/tool_calls" TargetMode="External" Id="R2d855840e4e943b0" /><Relationship Type="http://schemas.openxmlformats.org/officeDocument/2006/relationships/hyperlink" Target="https://fastapi.tiangolo.com/zh/tutorial/testing/" TargetMode="External" Id="R3144b2039b464710" /><Relationship Type="http://schemas.openxmlformats.org/officeDocument/2006/relationships/hyperlink" Target="https://genai.owasp.org/llmrisk/llm062025-excessive-agency/" TargetMode="External" Id="Rab54b8fdf2f94672" /><Relationship Type="http://schemas.openxmlformats.org/officeDocument/2006/relationships/hyperlink" Target="https://docs.github.com/zh/repositories/managing-your-repositorys-settings-and-features/customizing-your-repository/about-readmes" TargetMode="External" Id="Rad45788eaadf4db6" /><Relationship Type="http://schemas.openxmlformats.org/officeDocument/2006/relationships/hyperlink" Target="https://api-docs.deepseek.com/zh-cn/guides/tool_calls" TargetMode="External" Id="R773e673e4177445a" /><Relationship Type="http://schemas.openxmlformats.org/officeDocument/2006/relationships/hyperlink" Target="https://docs.pytest.org/en/stable/getting-started.html" TargetMode="External" Id="R2a59bcba923243e7" /><Relationship Type="http://schemas.openxmlformats.org/officeDocument/2006/relationships/hyperlink" Target="https://fastapi.tiangolo.com/zh/tutorial/testing/" TargetMode="External" Id="R1e5e69d76926425f" /><Relationship Type="http://schemas.openxmlformats.org/officeDocument/2006/relationships/hyperlink" Target="https://docs.python.org/zh-cn/3/howto/logging.html" TargetMode="External" Id="R2ef1323aa18c4e71" /><Relationship Type="http://schemas.openxmlformats.org/officeDocument/2006/relationships/hyperlink" Target="https://learn.microsoft.com/zh-cn/azure/well-architected/operational-excellence/principles" TargetMode="External" Id="Rc1cb802ae187498e" /><Relationship Type="http://schemas.openxmlformats.org/officeDocument/2006/relationships/hyperlink" Target="https://docs.docker.com/get-started/workshop/" TargetMode="External" Id="R6020297d5b944b46" /><Relationship Type="http://schemas.openxmlformats.org/officeDocument/2006/relationships/hyperlink" Target="https://fastapi.tiangolo.com/zh/deployment/docker/" TargetMode="External" Id="Rf7cef8e2553545f1" /><Relationship Type="http://schemas.openxmlformats.org/officeDocument/2006/relationships/hyperlink" Target="https://fastapi.tiangolo.com/zh/deployment/docker/" TargetMode="External" Id="R2fc578c9af344fd1" /><Relationship Type="http://schemas.openxmlformats.org/officeDocument/2006/relationships/hyperlink" Target="https://docs.python.org/zh-cn/3/library/venv.html" TargetMode="External" Id="R2285d332c2a34f71" /><Relationship Type="http://schemas.openxmlformats.org/officeDocument/2006/relationships/hyperlink" Target="https://docs.github.com/zh/actions/use-cases-and-examples/building-and-testing/building-and-testing-python" TargetMode="External" Id="R2adb8dbfa9b04aec" /><Relationship Type="http://schemas.openxmlformats.org/officeDocument/2006/relationships/hyperlink" Target="https://docs.python.org/zh-cn/3/library/venv.html" TargetMode="External" Id="R8ce3d5d4f6e84f39" /><Relationship Type="http://schemas.openxmlformats.org/officeDocument/2006/relationships/hyperlink" Target="https://learn.microsoft.com/zh-cn/azure/well-architected/reliability/principles" TargetMode="External" Id="R195e0ac47d3d4765" /><Relationship Type="http://schemas.openxmlformats.org/officeDocument/2006/relationships/hyperlink" Target="https://docs.github.com/zh/repositories/managing-your-repositorys-settings-and-features/customizing-your-repository/about-readmes" TargetMode="External" Id="R71963e631ead434b" /><Relationship Type="http://schemas.openxmlformats.org/officeDocument/2006/relationships/hyperlink" Target="https://learn.microsoft.com/zh-cn/azure/well-architected/operational-excellence/principles" TargetMode="External" Id="Rd898098e12d945f1" /><Relationship Type="http://schemas.openxmlformats.org/officeDocument/2006/relationships/hyperlink" Target="https://learn.microsoft.com/zh-cn/training/career-paths/solution-architect" TargetMode="External" Id="R291ea743e7af4184" /><Relationship Type="http://schemas.openxmlformats.org/officeDocument/2006/relationships/hyperlink" Target="https://learn.microsoft.com/zh-cn/azure/well-architected/what-is-well-architected-framework" TargetMode="External" Id="R3b82702cab464a4d" /><Relationship Type="http://schemas.openxmlformats.org/officeDocument/2006/relationships/hyperlink" Target="https://learn.microsoft.com/zh-cn/azure/well-architected/what-is-well-architected-framework" TargetMode="External" Id="R162cf5fd8a064d1c" /><Relationship Type="http://schemas.openxmlformats.org/officeDocument/2006/relationships/hyperlink" Target="https://learn.microsoft.com/zh-cn/azure/search/retrieval-augmented-generation-overview" TargetMode="External" Id="Rd328f5060d464008" /><Relationship Type="http://schemas.openxmlformats.org/officeDocument/2006/relationships/hyperlink" Target="https://learn.microsoft.com/zh-cn/azure/well-architected/what-is-well-architected-framework" TargetMode="External" Id="R139c131c5ea640b7" /><Relationship Type="http://schemas.openxmlformats.org/officeDocument/2006/relationships/hyperlink" Target="https://api-docs.deepseek.com/zh-cn/quick_start/pricing" TargetMode="External" Id="R908e777df44b4ac9" /><Relationship Type="http://schemas.openxmlformats.org/officeDocument/2006/relationships/hyperlink" Target="https://learn.microsoft.com/zh-cn/azure/well-architected/operational-excellence/principles" TargetMode="External" Id="R76ae227831df475f" /><Relationship Type="http://schemas.openxmlformats.org/officeDocument/2006/relationships/hyperlink" Target="https://docs.github.com/zh/repositories/managing-your-repositorys-settings-and-features/customizing-your-repository/about-readmes" TargetMode="External" Id="R3a2a3605ecda4f96" /><Relationship Type="http://schemas.openxmlformats.org/officeDocument/2006/relationships/hyperlink" Target="https://genai.owasp.org/llmrisk/llm01-prompt-injection/" TargetMode="External" Id="Rff9196e9c09e473f" /><Relationship Type="http://schemas.openxmlformats.org/officeDocument/2006/relationships/hyperlink" Target="https://learn.microsoft.com/zh-cn/azure/well-architected/reliability/principles" TargetMode="External" Id="Rfb57cce1baed44d0" /><Relationship Type="http://schemas.openxmlformats.org/officeDocument/2006/relationships/hyperlink" Target="https://learn.microsoft.com/zh-cn/azure/well-architected/cost-optimization/principles" TargetMode="External" Id="R494717313b9e44ef" /><Relationship Type="http://schemas.openxmlformats.org/officeDocument/2006/relationships/hyperlink" Target="https://api-docs.deepseek.com/zh-cn/quick_start/pricing" TargetMode="External" Id="Rca1cf0c2dd6744ae" /><Relationship Type="http://schemas.openxmlformats.org/officeDocument/2006/relationships/hyperlink" Target="https://learn.microsoft.com/zh-cn/azure/well-architected/what-is-well-architected-framework" TargetMode="External" Id="R17db40633fcc4554" /><Relationship Type="http://schemas.openxmlformats.org/officeDocument/2006/relationships/hyperlink" Target="https://learn.microsoft.com/zh-cn/training/career-paths/solution-architect" TargetMode="External" Id="R478484e1db6c4607" /><Relationship Type="http://schemas.openxmlformats.org/officeDocument/2006/relationships/hyperlink" Target="https://docs.github.com/zh/repositories/managing-your-repositorys-settings-and-features/customizing-your-repository/about-readmes" TargetMode="External" Id="R400b8610053e451f" /><Relationship Type="http://schemas.openxmlformats.org/officeDocument/2006/relationships/hyperlink" Target="https://docs.github.com/zh/account-and-profile/setting-up-and-managing-your-github-profile/customizing-your-profile/managing-your-profile-readme" TargetMode="External" Id="Rda70e5a78c314e68" /><Relationship Type="http://schemas.openxmlformats.org/officeDocument/2006/relationships/hyperlink" Target="https://docs.github.com/zh/authentication/keeping-your-account-and-data-secure/removing-sensitive-data-from-a-repository" TargetMode="External" Id="R1a54a42c3c364919" /><Relationship Type="http://schemas.openxmlformats.org/officeDocument/2006/relationships/hyperlink" Target="https://learn.microsoft.com/zh-cn/training/career-paths/solution-architect" TargetMode="External" Id="R60d65e6676d74f50" /><Relationship Type="http://schemas.openxmlformats.org/officeDocument/2006/relationships/hyperlink" Target="https://nationalcareers.service.gov.uk/careers-advice/cv-sections" TargetMode="External" Id="R459528deb4e24199" /><Relationship Type="http://schemas.openxmlformats.org/officeDocument/2006/relationships/hyperlink" Target="https://nationalcareers.service.gov.uk/careers-advice/cv-sections" TargetMode="External" Id="R927fbfc5eb154226" /><Relationship Type="http://schemas.openxmlformats.org/officeDocument/2006/relationships/hyperlink" Target="https://docs.github.com/zh/repositories/managing-your-repositorys-settings-and-features/customizing-your-repository/about-readmes" TargetMode="External" Id="R9af0643888ff4be2" /><Relationship Type="http://schemas.openxmlformats.org/officeDocument/2006/relationships/hyperlink" Target="https://nationalcareers.service.gov.uk/careers-advice/interview-advice" TargetMode="External" Id="Raa45e6f9695540bc" /><Relationship Type="http://schemas.openxmlformats.org/officeDocument/2006/relationships/hyperlink" Target="https://learn.microsoft.com/zh-cn/azure/search/retrieval-augmented-generation-overview" TargetMode="External" Id="R03452bb7f9e04710" /><Relationship Type="http://schemas.openxmlformats.org/officeDocument/2006/relationships/hyperlink" Target="https://nationalcareers.service.gov.uk/careers-advice/interview-advice/the-star-method" TargetMode="External" Id="Rcf6d18782621461f" /><Relationship Type="http://schemas.openxmlformats.org/officeDocument/2006/relationships/hyperlink" Target="https://learn.microsoft.com/zh-cn/training/career-paths/solution-architect" TargetMode="External" Id="Rdc8783bec90b4b49" /><Relationship Type="http://schemas.openxmlformats.org/officeDocument/2006/relationships/hyperlink" Target="https://nationalcareers.service.gov.uk/careers-advice/cv-sections" TargetMode="External" Id="R4883ee43cbfe4a2e" /><Relationship Type="http://schemas.openxmlformats.org/officeDocument/2006/relationships/hyperlink" Target="https://nationalcareers.service.gov.uk/careers-advice/interview-advice" TargetMode="External" Id="Re0a28cfe88af4057" /><Relationship Type="http://schemas.openxmlformats.org/officeDocument/2006/relationships/hyperlink" Target="https://nationalcareers.service.gov.uk/careers-advice/cv-sections" TargetMode="External" Id="R20e6bc101ff342ba" /><Relationship Type="http://schemas.openxmlformats.org/officeDocument/2006/relationships/hyperlink" Target="https://nationalcareers.service.gov.uk/careers-advice/interview-advice" TargetMode="External" Id="R31f622a51d0445d8" /><Relationship Type="http://schemas.openxmlformats.org/officeDocument/2006/relationships/hyperlink" Target="https://docs.github.com/zh/repositories/managing-your-repositorys-settings-and-features/customizing-your-repository/about-readmes" TargetMode="External" Id="R699e5a2c85ae4bdf" /><Relationship Type="http://schemas.openxmlformats.org/officeDocument/2006/relationships/hyperlink" Target="https://nationalcareers.service.gov.uk/careers-advice/interview-advice" TargetMode="External" Id="R446b6fad1bc44172" /><Relationship Type="http://schemas.openxmlformats.org/officeDocument/2006/relationships/hyperlink" Target="https://nationalcareers.service.gov.uk/careers-advice/cv-sections" TargetMode="External" Id="Rb9678fc6613b4802" /><Relationship Type="http://schemas.openxmlformats.org/officeDocument/2006/relationships/hyperlink" Target="https://nationalcareers.service.gov.uk/careers-advice/interview-advice/the-star-method" TargetMode="External" Id="Ra69f869cd1d647b5" /><Relationship Type="http://schemas.openxmlformats.org/officeDocument/2006/relationships/hyperlink" Target="https://learn.microsoft.com/zh-cn/azure/search/retrieval-augmented-generation-overview" TargetMode="External" Id="R9d84a89245b445e1" /><Relationship Type="http://schemas.openxmlformats.org/officeDocument/2006/relationships/hyperlink" Target="https://nationalcareers.service.gov.uk/careers-advice/interview-advice" TargetMode="External" Id="Rd27eba2ccdd7475b" /><Relationship Type="http://schemas.openxmlformats.org/officeDocument/2006/relationships/hyperlink" Target="https://docs.python.org/zh-cn/3/library/venv.html" TargetMode="External" Id="Rffa2361ad61849ad" /><Relationship Type="http://schemas.openxmlformats.org/officeDocument/2006/relationships/hyperlink" Target="https://docs.github.com/zh/repositories/managing-your-repositorys-settings-and-features/customizing-your-repository/about-readmes" TargetMode="External" Id="R1c190555e2ff40dd" /><Relationship Type="http://schemas.openxmlformats.org/officeDocument/2006/relationships/hyperlink" Target="https://learn.microsoft.com/zh-cn/azure/well-architected/what-is-well-architected-framework" TargetMode="External" Id="R660c9a50337d4fca" /><Relationship Type="http://schemas.openxmlformats.org/officeDocument/2006/relationships/hyperlink" Target="https://nationalcareers.service.gov.uk/careers-advice/interview-advice/the-star-method" TargetMode="External" Id="Rc6c08f6849ec41ab" /><Relationship Type="http://schemas.openxmlformats.org/officeDocument/2006/relationships/hyperlink" Target="https://docs.github.com/zh/repositories/managing-your-repositorys-settings-and-features/customizing-your-repository/about-readmes" TargetMode="External" Id="R1fe4a6219d6a4863" /><Relationship Type="http://schemas.openxmlformats.org/officeDocument/2006/relationships/hyperlink" Target="https://nationalcareers.service.gov.uk/careers-advice/interview-advice" TargetMode="External" Id="R371c5a0b5fbb4edd" /><Relationship Type="http://schemas.openxmlformats.org/officeDocument/2006/relationships/table" Target="/xl/tables/table1.xml" Id="Raa6daa0670c943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fastapi.tiangolo.com/zh/tutorial/first-steps/" TargetMode="External" Id="Rb2e9dced2100409d" /><Relationship Type="http://schemas.openxmlformats.org/officeDocument/2006/relationships/hyperlink" Target="https://fastapi.tiangolo.com/zh/tutorial/body/" TargetMode="External" Id="Rc99d067a436143e0" /><Relationship Type="http://schemas.openxmlformats.org/officeDocument/2006/relationships/hyperlink" Target="https://fastapi.tiangolo.com/zh/tutorial/handling-errors/" TargetMode="External" Id="R9bffbe35e61b4d1f" /><Relationship Type="http://schemas.openxmlformats.org/officeDocument/2006/relationships/hyperlink" Target="https://fastapi.tiangolo.com/zh/tutorial/testing/" TargetMode="External" Id="Re94df286ce1b4309" /><Relationship Type="http://schemas.openxmlformats.org/officeDocument/2006/relationships/hyperlink" Target="https://fastapi.tiangolo.com/zh/tutorial/cors/" TargetMode="External" Id="R68e3a2ff7abe498d" /><Relationship Type="http://schemas.openxmlformats.org/officeDocument/2006/relationships/hyperlink" Target="https://pandas.pydata.org/docs/user_guide/missing_data.html" TargetMode="External" Id="Rdb1297f5e7f94837" /><Relationship Type="http://schemas.openxmlformats.org/officeDocument/2006/relationships/hyperlink" Target="https://pandas.pydata.org/docs/user_guide/io.html" TargetMode="External" Id="R6805a6d25c9d448d" /><Relationship Type="http://schemas.openxmlformats.org/officeDocument/2006/relationships/hyperlink" Target="https://docs.python.org/zh-cn/3/library/venv.html" TargetMode="External" Id="Rd05da4ed69b949c7" /><Relationship Type="http://schemas.openxmlformats.org/officeDocument/2006/relationships/hyperlink" Target="https://docs.python.org/zh-cn/3/howto/logging.html" TargetMode="External" Id="R3916bb8f427e46e6" /><Relationship Type="http://schemas.openxmlformats.org/officeDocument/2006/relationships/hyperlink" Target="https://docs.python.org/zh-cn/3/library/sqlite3.html" TargetMode="External" Id="Rd96348b7dcf14726" /><Relationship Type="http://schemas.openxmlformats.org/officeDocument/2006/relationships/hyperlink" Target="https://api-docs.deepseek.com/zh-cn/" TargetMode="External" Id="R222801da15b44d08" /><Relationship Type="http://schemas.openxmlformats.org/officeDocument/2006/relationships/hyperlink" Target="https://api-docs.deepseek.com/zh-cn/api/create-chat-completion" TargetMode="External" Id="Rf11f75e093e44c0f" /><Relationship Type="http://schemas.openxmlformats.org/officeDocument/2006/relationships/hyperlink" Target="https://api-docs.deepseek.com/zh-cn/quick_start/error_codes" TargetMode="External" Id="Rc285aa1769e84d23" /><Relationship Type="http://schemas.openxmlformats.org/officeDocument/2006/relationships/hyperlink" Target="https://api-docs.deepseek.com/zh-cn/guides/json_mode" TargetMode="External" Id="R0a2482aa24484d6b" /><Relationship Type="http://schemas.openxmlformats.org/officeDocument/2006/relationships/hyperlink" Target="https://api-docs.deepseek.com/zh-cn/guides/tool_calls" TargetMode="External" Id="Re0a1e83422164b7f" /><Relationship Type="http://schemas.openxmlformats.org/officeDocument/2006/relationships/hyperlink" Target="https://api-docs.deepseek.com/zh-cn/quick_start/pricing" TargetMode="External" Id="Rb6ac78c132f94528" /><Relationship Type="http://schemas.openxmlformats.org/officeDocument/2006/relationships/hyperlink" Target="https://www.sbert.net/docs/sentence_transformer/usage/semantic_textual_similarity.html" TargetMode="External" Id="Raf60fd2be469491c" /><Relationship Type="http://schemas.openxmlformats.org/officeDocument/2006/relationships/hyperlink" Target="https://www.sbert.net/examples/sentence_transformer/applications/semantic-search/README.html" TargetMode="External" Id="R86f6011f3471409a" /><Relationship Type="http://schemas.openxmlformats.org/officeDocument/2006/relationships/hyperlink" Target="https://learn.microsoft.com/zh-cn/azure/search/vector-search-how-to-chunk-documents" TargetMode="External" Id="Rc045dfa479b74794" /><Relationship Type="http://schemas.openxmlformats.org/officeDocument/2006/relationships/hyperlink" Target="https://docs.trychroma.com/docs/overview/getting-started" TargetMode="External" Id="R273d220cd7614b9b" /><Relationship Type="http://schemas.openxmlformats.org/officeDocument/2006/relationships/hyperlink" Target="https://learn.microsoft.com/zh-cn/azure/search/retrieval-augmented-generation-overview" TargetMode="External" Id="R12480cd09a4c42fd" /><Relationship Type="http://schemas.openxmlformats.org/officeDocument/2006/relationships/hyperlink" Target="https://docs.streamlit.io/develop/tutorials/chat-and-llm-apps/build-conversational-apps" TargetMode="External" Id="Refddc30035c547b1" /><Relationship Type="http://schemas.openxmlformats.org/officeDocument/2006/relationships/hyperlink" Target="https://docs.streamlit.io/develop/api-reference/caching-and-state/st.session_state" TargetMode="External" Id="R14446c5d427c4dc3" /><Relationship Type="http://schemas.openxmlformats.org/officeDocument/2006/relationships/hyperlink" Target="https://docs.streamlit.io/develop/concepts/architecture/caching" TargetMode="External" Id="R99877480c0e546be" /><Relationship Type="http://schemas.openxmlformats.org/officeDocument/2006/relationships/hyperlink" Target="https://docs.pytest.org/en/stable/getting-started.html" TargetMode="External" Id="Rcf2735c8e377407d" /><Relationship Type="http://schemas.openxmlformats.org/officeDocument/2006/relationships/hyperlink" Target="https://genai.owasp.org/llmrisk/llm01-prompt-injection/" TargetMode="External" Id="R5798414daf0f4a57" /><Relationship Type="http://schemas.openxmlformats.org/officeDocument/2006/relationships/hyperlink" Target="https://genai.owasp.org/llmrisk/llm062025-excessive-agency/" TargetMode="External" Id="Ra03746c70fb54b06" /><Relationship Type="http://schemas.openxmlformats.org/officeDocument/2006/relationships/hyperlink" Target="https://docs.docker.com/get-started/workshop/" TargetMode="External" Id="R2fdc1138fbd24a50" /><Relationship Type="http://schemas.openxmlformats.org/officeDocument/2006/relationships/hyperlink" Target="https://fastapi.tiangolo.com/zh/deployment/docker/" TargetMode="External" Id="R3dad4d17eac949db" /><Relationship Type="http://schemas.openxmlformats.org/officeDocument/2006/relationships/hyperlink" Target="https://docs.github.com/zh/actions/use-cases-and-examples/building-and-testing/building-and-testing-python" TargetMode="External" Id="R8bea400fffd44925" /><Relationship Type="http://schemas.openxmlformats.org/officeDocument/2006/relationships/hyperlink" Target="https://docs.github.com/zh/repositories/managing-your-repositorys-settings-and-features/customizing-your-repository/about-readmes" TargetMode="External" Id="R35cc60f8b16445db" /><Relationship Type="http://schemas.openxmlformats.org/officeDocument/2006/relationships/hyperlink" Target="https://docs.github.com/zh/account-and-profile/setting-up-and-managing-your-github-profile/customizing-your-profile/managing-your-profile-readme" TargetMode="External" Id="R41d6ab6c20bc4e2f" /><Relationship Type="http://schemas.openxmlformats.org/officeDocument/2006/relationships/hyperlink" Target="https://docs.github.com/zh/authentication/keeping-your-account-and-data-secure/removing-sensitive-data-from-a-repository" TargetMode="External" Id="Rb71024a5f91f49f9" /><Relationship Type="http://schemas.openxmlformats.org/officeDocument/2006/relationships/hyperlink" Target="https://learn.microsoft.com/zh-cn/azure/well-architected/what-is-well-architected-framework" TargetMode="External" Id="Rc1cd6d48fc154bd5" /><Relationship Type="http://schemas.openxmlformats.org/officeDocument/2006/relationships/hyperlink" Target="https://learn.microsoft.com/zh-cn/training/career-paths/solution-architect" TargetMode="External" Id="R8049bbf49e304270" /><Relationship Type="http://schemas.openxmlformats.org/officeDocument/2006/relationships/hyperlink" Target="https://learn.microsoft.com/zh-cn/azure/well-architected/cost-optimization/principles" TargetMode="External" Id="Rc0b6d99890a344ad" /><Relationship Type="http://schemas.openxmlformats.org/officeDocument/2006/relationships/hyperlink" Target="https://learn.microsoft.com/zh-cn/azure/well-architected/reliability/principles" TargetMode="External" Id="R9cacb0d355f2444c" /><Relationship Type="http://schemas.openxmlformats.org/officeDocument/2006/relationships/hyperlink" Target="https://learn.microsoft.com/zh-cn/azure/well-architected/operational-excellence/principles" TargetMode="External" Id="R8bbc62e4d5ec4f28" /><Relationship Type="http://schemas.openxmlformats.org/officeDocument/2006/relationships/hyperlink" Target="https://nationalcareers.service.gov.uk/careers-advice/interview-advice/the-star-method" TargetMode="External" Id="Rd0b097924f904ba1" /><Relationship Type="http://schemas.openxmlformats.org/officeDocument/2006/relationships/hyperlink" Target="https://nationalcareers.service.gov.uk/careers-advice/cv-sections" TargetMode="External" Id="R538a7c9c3c0040fa" /><Relationship Type="http://schemas.openxmlformats.org/officeDocument/2006/relationships/hyperlink" Target="https://nationalcareers.service.gov.uk/careers-advice/interview-advice" TargetMode="External" Id="R4e7554a4500a4768" /><Relationship Type="http://schemas.openxmlformats.org/officeDocument/2006/relationships/hyperlink" Target="https://docs.sqlalchemy.org/en/20/orm/quickstart.html" TargetMode="External" Id="Rfc11e0c7c2aa4c55" /><Relationship Type="http://schemas.openxmlformats.org/officeDocument/2006/relationships/hyperlink" Target="https://docs.sqlalchemy.org/en/20/orm/session_basics.html" TargetMode="External" Id="Re217cefebf26408a" /><Relationship Type="http://schemas.openxmlformats.org/officeDocument/2006/relationships/table" Target="/xl/tables/table2.xml" Id="R149fa86851e74097" /></Relationships>
</file>

<file path=xl/worksheets/sheet1.xml><?xml version="1.0" encoding="utf-8"?>
<x:worksheet xmlns:x="http://schemas.openxmlformats.org/spreadsheetml/2006/main">
  <x:sheetPr>
    <x:tabColor rgb="FF25466A"/>
  </x:sheetPr>
  <x:sheetViews>
    <x:sheetView showGridLines="0" workbookViewId="0"/>
  </x:sheetViews>
  <x:sheetFormatPr defaultColWidth="9" defaultRowHeight="14"/>
  <x:cols>
    <x:col min="1" max="1" width="12" customWidth="1"/>
    <x:col min="2" max="2" width="38" customWidth="1"/>
    <x:col min="3" max="5" width="12" customWidth="1"/>
    <x:col min="6" max="6" width="13" customWidth="1"/>
    <x:col min="7" max="7" width="49" customWidth="1"/>
    <x:col min="8" max="8" width="14" customWidth="1"/>
  </x:cols>
  <x:sheetData>
    <x:row r="1" ht="16.5">
      <x:c r="A1" s="1"/>
      <x:c r="B1" s="1"/>
      <x:c r="C1" s="1"/>
      <x:c r="D1" s="1"/>
      <x:c r="E1" s="1"/>
      <x:c r="F1" s="1"/>
      <x:c r="G1" s="1"/>
      <x:c r="H1" s="1"/>
    </x:row>
    <x:row r="2" ht="32" customHeight="1">
      <x:c r="A2" s="2" t="s">
        <x:v>0</x:v>
      </x:c>
      <x:c r="B2" s="1"/>
      <x:c r="C2" s="1"/>
      <x:c r="D2" s="1"/>
      <x:c r="E2" s="1"/>
      <x:c r="F2" s="1"/>
      <x:c r="G2" s="1"/>
      <x:c r="H2" s="1"/>
    </x:row>
    <x:row r="3" ht="16.5">
      <x:c r="A3" s="3" t="str">
        <x:v>当前 day16：消息内容块与多模态；历史截取延期，每晚22:30跟进。</x:v>
      </x:c>
      <x:c r="B3" s="4"/>
      <x:c r="C3" s="4"/>
      <x:c r="D3" s="4"/>
      <x:c r="E3" s="4"/>
      <x:c r="F3" s="4"/>
      <x:c r="G3" s="4"/>
      <x:c r="H3" s="4"/>
    </x:row>
    <x:row r="4" ht="16.5">
      <x:c r="A4" s="26" t="s">
        <x:v>1</x:v>
      </x:c>
      <x:c r="B4" s="1"/>
      <x:c r="C4" s="1"/>
      <x:c r="D4" s="1"/>
      <x:c r="E4" s="1"/>
      <x:c r="F4" s="1"/>
      <x:c r="G4" s="1"/>
      <x:c r="H4" s="1"/>
    </x:row>
    <x:row r="5" ht="30" customHeight="1">
      <x:c r="A5" s="27" t="s">
        <x:v>2</x:v>
      </x:c>
      <x:c r="B5" s="28" t="n">
        <x:f>COUNTA(每日清单!$A$6:$A$75)</x:f>
        <x:v>70</x:v>
      </x:c>
      <x:c r="C5" s="27" t="s">
        <x:v>3</x:v>
      </x:c>
      <x:c r="D5" s="28" t="n">
        <x:f>COUNTIFS(每日清单!$H$6:$H$75,"已完成")</x:f>
        <x:v>2</x:v>
      </x:c>
      <x:c r="E5" s="27" t="s">
        <x:v>4</x:v>
      </x:c>
      <x:c r="F5" s="28" t="n">
        <x:f>COUNTIFS(每日清单!$H$6:$H$75,"进行中")</x:f>
        <x:v>0</x:v>
      </x:c>
      <x:c r="G5" s="27" t="s">
        <x:v>5</x:v>
      </x:c>
      <x:c r="H5" s="29" t="n">
        <x:f>D5/B5</x:f>
        <x:v>0.02857142857142857</x:v>
      </x:c>
    </x:row>
    <x:row r="6" ht="30" customHeight="1">
      <x:c r="A6" s="27" t="s">
        <x:v>6</x:v>
      </x:c>
      <x:c r="B6" s="30" t="n">
        <x:f>SUM(每日清单!$L$6:$L$75)</x:f>
        <x:v>236.25</x:v>
      </x:c>
      <x:c r="C6" s="27" t="s">
        <x:v>7</x:v>
      </x:c>
      <x:c r="D6" s="30" t="n">
        <x:f>SUM(每日清单!$Q$6:$Q$75)</x:f>
        <x:v>0</x:v>
      </x:c>
      <x:c r="E6" s="27" t="s">
        <x:v>8</x:v>
      </x:c>
      <x:c r="F6" s="28" t="n">
        <x:f>COUNTIFS(每日清单!$H$6:$H$75,"未开始")</x:f>
        <x:v>68</x:v>
      </x:c>
      <x:c r="G6" s="27" t="s">
        <x:v>9</x:v>
      </x:c>
      <x:c r="H6" s="31" t="n">
        <x:f>MAX(每日清单!$K$6:$K$75)</x:f>
        <x:v>46369</x:v>
      </x:c>
    </x:row>
    <x:row r="7" ht="16.5">
      <x:c r="A7" s="1"/>
      <x:c r="B7" s="1"/>
      <x:c r="C7" s="1"/>
      <x:c r="D7" s="1"/>
      <x:c r="E7" s="1"/>
      <x:c r="F7" s="1"/>
      <x:c r="G7" s="1"/>
      <x:c r="H7" s="1"/>
    </x:row>
    <x:row r="8" ht="16.5">
      <x:c r="A8" s="32" t="s">
        <x:v>10</x:v>
      </x:c>
      <x:c r="B8" s="1" t="s">
        <x:v>11</x:v>
      </x:c>
      <x:c r="C8" s="1"/>
      <x:c r="D8" s="1"/>
      <x:c r="E8" s="1"/>
      <x:c r="F8" s="1"/>
      <x:c r="G8" s="1"/>
      <x:c r="H8" s="1"/>
    </x:row>
    <x:row r="9" ht="16.5">
      <x:c r="A9" s="32" t="s">
        <x:v>12</x:v>
      </x:c>
      <x:c r="B9" s="1" t="str">
        <x:v>基础接口/调用链免验收；当前看消息结构、输出提取与自主修改；历史截取后补。</x:v>
      </x:c>
      <x:c r="C9" s="1"/>
      <x:c r="D9" s="1"/>
      <x:c r="E9" s="1"/>
      <x:c r="F9" s="1"/>
      <x:c r="G9" s="1"/>
      <x:c r="H9" s="1"/>
    </x:row>
    <x:row r="10" ht="16.5">
      <x:c r="A10" s="1"/>
      <x:c r="B10" s="1"/>
      <x:c r="C10" s="1"/>
      <x:c r="D10" s="1"/>
      <x:c r="E10" s="1"/>
      <x:c r="F10" s="1"/>
      <x:c r="G10" s="1"/>
      <x:c r="H10" s="1"/>
    </x:row>
    <x:row r="11" ht="32" customHeight="1">
      <x:c r="A11" s="5" t="s">
        <x:v>13</x:v>
      </x:c>
      <x:c r="B11" s="6" t="s">
        <x:v>14</x:v>
      </x:c>
      <x:c r="C11" s="6" t="s">
        <x:v>2</x:v>
      </x:c>
      <x:c r="D11" s="6" t="s">
        <x:v>3</x:v>
      </x:c>
      <x:c r="E11" s="6" t="s">
        <x:v>4</x:v>
      </x:c>
      <x:c r="F11" s="6" t="s">
        <x:v>5</x:v>
      </x:c>
      <x:c r="G11" s="6" t="s">
        <x:v>15</x:v>
      </x:c>
      <x:c r="H11" s="7" t="s">
        <x:v>16</x:v>
      </x:c>
    </x:row>
    <x:row r="12" ht="120" customHeight="1">
      <x:c r="A12" s="33">
        <x:v>1</x:v>
      </x:c>
      <x:c r="B12" s="34" t="s">
        <x:v>17</x:v>
      </x:c>
      <x:c r="C12" s="33" t="n">
        <x:f>COUNTIFS(每日清单!$B$6:$B$75,$A12)</x:f>
        <x:v>7</x:v>
      </x:c>
      <x:c r="D12" s="33" t="n">
        <x:f>COUNTIFS(每日清单!$B$6:$B$75,$A12,每日清单!$H$6:$H$75,"已完成")</x:f>
        <x:v>2</x:v>
      </x:c>
      <x:c r="E12" s="33" t="n">
        <x:f>COUNTIFS(每日清单!$B$6:$B$75,$A12,每日清单!$H$6:$H$75,"进行中")</x:f>
        <x:v>0</x:v>
      </x:c>
      <x:c r="F12" s="35" t="n">
        <x:f t="shared" ref="F12:F21" si="0">D12/C12</x:f>
        <x:v>0.2857142857142857</x:v>
      </x:c>
      <x:c r="G12" s="34" t="s">
        <x:v>18</x:v>
      </x:c>
      <x:c r="H12" s="34" t="s">
        <x:v>19</x:v>
      </x:c>
    </x:row>
    <x:row r="13" ht="58" customHeight="1">
      <x:c r="A13" s="36">
        <x:v>2</x:v>
      </x:c>
      <x:c r="B13" s="37" t="s">
        <x:v>20</x:v>
      </x:c>
      <x:c r="C13" s="36" t="n">
        <x:f>COUNTIFS(每日清单!$B$6:$B$75,$A13)</x:f>
        <x:v>7</x:v>
      </x:c>
      <x:c r="D13" s="36" t="n">
        <x:f>COUNTIFS(每日清单!$B$6:$B$75,$A13,每日清单!$H$6:$H$75,"已完成")</x:f>
        <x:v>0</x:v>
      </x:c>
      <x:c r="E13" s="36" t="n">
        <x:f>COUNTIFS(每日清单!$B$6:$B$75,$A13,每日清单!$H$6:$H$75,"进行中")</x:f>
        <x:v>0</x:v>
      </x:c>
      <x:c r="F13" s="38">
        <x:f t="shared" si="0"/>
        <x:v>0</x:v>
      </x:c>
      <x:c r="G13" s="37" t="s">
        <x:v>21</x:v>
      </x:c>
      <x:c r="H13" s="37" t="s">
        <x:v>22</x:v>
      </x:c>
    </x:row>
    <x:row r="14" ht="58" customHeight="1">
      <x:c r="A14" s="33">
        <x:v>3</x:v>
      </x:c>
      <x:c r="B14" s="34" t="s">
        <x:v>23</x:v>
      </x:c>
      <x:c r="C14" s="33" t="n">
        <x:f>COUNTIFS(每日清单!$B$6:$B$75,$A14)</x:f>
        <x:v>7</x:v>
      </x:c>
      <x:c r="D14" s="33" t="n">
        <x:f>COUNTIFS(每日清单!$B$6:$B$75,$A14,每日清单!$H$6:$H$75,"已完成")</x:f>
        <x:v>0</x:v>
      </x:c>
      <x:c r="E14" s="33" t="n">
        <x:f>COUNTIFS(每日清单!$B$6:$B$75,$A14,每日清单!$H$6:$H$75,"进行中")</x:f>
        <x:v>0</x:v>
      </x:c>
      <x:c r="F14" s="35">
        <x:f t="shared" si="0"/>
        <x:v>0</x:v>
      </x:c>
      <x:c r="G14" s="34" t="s">
        <x:v>24</x:v>
      </x:c>
      <x:c r="H14" s="34" t="s">
        <x:v>25</x:v>
      </x:c>
    </x:row>
    <x:row r="15" ht="63" customHeight="1">
      <x:c r="A15" s="36">
        <x:v>4</x:v>
      </x:c>
      <x:c r="B15" s="37" t="s">
        <x:v>26</x:v>
      </x:c>
      <x:c r="C15" s="36" t="n">
        <x:f>COUNTIFS(每日清单!$B$6:$B$75,$A15)</x:f>
        <x:v>7</x:v>
      </x:c>
      <x:c r="D15" s="36" t="n">
        <x:f>COUNTIFS(每日清单!$B$6:$B$75,$A15,每日清单!$H$6:$H$75,"已完成")</x:f>
        <x:v>0</x:v>
      </x:c>
      <x:c r="E15" s="36" t="n">
        <x:f>COUNTIFS(每日清单!$B$6:$B$75,$A15,每日清单!$H$6:$H$75,"进行中")</x:f>
        <x:v>0</x:v>
      </x:c>
      <x:c r="F15" s="38">
        <x:f t="shared" si="0"/>
        <x:v>0</x:v>
      </x:c>
      <x:c r="G15" s="37" t="s">
        <x:v>27</x:v>
      </x:c>
      <x:c r="H15" s="37" t="s">
        <x:v>28</x:v>
      </x:c>
    </x:row>
    <x:row r="16" ht="58" customHeight="1">
      <x:c r="A16" s="33">
        <x:v>5</x:v>
      </x:c>
      <x:c r="B16" s="34" t="s">
        <x:v>29</x:v>
      </x:c>
      <x:c r="C16" s="33" t="n">
        <x:f>COUNTIFS(每日清单!$B$6:$B$75,$A16)</x:f>
        <x:v>7</x:v>
      </x:c>
      <x:c r="D16" s="33" t="n">
        <x:f>COUNTIFS(每日清单!$B$6:$B$75,$A16,每日清单!$H$6:$H$75,"已完成")</x:f>
        <x:v>0</x:v>
      </x:c>
      <x:c r="E16" s="33" t="n">
        <x:f>COUNTIFS(每日清单!$B$6:$B$75,$A16,每日清单!$H$6:$H$75,"进行中")</x:f>
        <x:v>0</x:v>
      </x:c>
      <x:c r="F16" s="35">
        <x:f t="shared" si="0"/>
        <x:v>0</x:v>
      </x:c>
      <x:c r="G16" s="34" t="s">
        <x:v>30</x:v>
      </x:c>
      <x:c r="H16" s="34" t="s">
        <x:v>31</x:v>
      </x:c>
    </x:row>
    <x:row r="17" ht="58" customHeight="1">
      <x:c r="A17" s="36">
        <x:v>6</x:v>
      </x:c>
      <x:c r="B17" s="37" t="s">
        <x:v>32</x:v>
      </x:c>
      <x:c r="C17" s="36" t="n">
        <x:f>COUNTIFS(每日清单!$B$6:$B$75,$A17)</x:f>
        <x:v>7</x:v>
      </x:c>
      <x:c r="D17" s="36" t="n">
        <x:f>COUNTIFS(每日清单!$B$6:$B$75,$A17,每日清单!$H$6:$H$75,"已完成")</x:f>
        <x:v>0</x:v>
      </x:c>
      <x:c r="E17" s="36" t="n">
        <x:f>COUNTIFS(每日清单!$B$6:$B$75,$A17,每日清单!$H$6:$H$75,"进行中")</x:f>
        <x:v>0</x:v>
      </x:c>
      <x:c r="F17" s="38">
        <x:f t="shared" si="0"/>
        <x:v>0</x:v>
      </x:c>
      <x:c r="G17" s="37" t="s">
        <x:v>33</x:v>
      </x:c>
      <x:c r="H17" s="37" t="s">
        <x:v>34</x:v>
      </x:c>
    </x:row>
    <x:row r="18" ht="58" customHeight="1">
      <x:c r="A18" s="33">
        <x:v>7</x:v>
      </x:c>
      <x:c r="B18" s="34" t="s">
        <x:v>35</x:v>
      </x:c>
      <x:c r="C18" s="33" t="n">
        <x:f>COUNTIFS(每日清单!$B$6:$B$75,$A18)</x:f>
        <x:v>7</x:v>
      </x:c>
      <x:c r="D18" s="33" t="n">
        <x:f>COUNTIFS(每日清单!$B$6:$B$75,$A18,每日清单!$H$6:$H$75,"已完成")</x:f>
        <x:v>0</x:v>
      </x:c>
      <x:c r="E18" s="33" t="n">
        <x:f>COUNTIFS(每日清单!$B$6:$B$75,$A18,每日清单!$H$6:$H$75,"进行中")</x:f>
        <x:v>0</x:v>
      </x:c>
      <x:c r="F18" s="35">
        <x:f t="shared" si="0"/>
        <x:v>0</x:v>
      </x:c>
      <x:c r="G18" s="34" t="s">
        <x:v>36</x:v>
      </x:c>
      <x:c r="H18" s="34" t="s">
        <x:v>37</x:v>
      </x:c>
    </x:row>
    <x:row r="19" ht="58" customHeight="1">
      <x:c r="A19" s="36">
        <x:v>8</x:v>
      </x:c>
      <x:c r="B19" s="37" t="s">
        <x:v>38</x:v>
      </x:c>
      <x:c r="C19" s="36" t="n">
        <x:f>COUNTIFS(每日清单!$B$6:$B$75,$A19)</x:f>
        <x:v>7</x:v>
      </x:c>
      <x:c r="D19" s="36" t="n">
        <x:f>COUNTIFS(每日清单!$B$6:$B$75,$A19,每日清单!$H$6:$H$75,"已完成")</x:f>
        <x:v>0</x:v>
      </x:c>
      <x:c r="E19" s="36" t="n">
        <x:f>COUNTIFS(每日清单!$B$6:$B$75,$A19,每日清单!$H$6:$H$75,"进行中")</x:f>
        <x:v>0</x:v>
      </x:c>
      <x:c r="F19" s="38">
        <x:f t="shared" si="0"/>
        <x:v>0</x:v>
      </x:c>
      <x:c r="G19" s="37" t="s">
        <x:v>39</x:v>
      </x:c>
      <x:c r="H19" s="37" t="s">
        <x:v>40</x:v>
      </x:c>
    </x:row>
    <x:row r="20" ht="58" customHeight="1">
      <x:c r="A20" s="33">
        <x:v>9</x:v>
      </x:c>
      <x:c r="B20" s="34" t="s">
        <x:v>41</x:v>
      </x:c>
      <x:c r="C20" s="33" t="n">
        <x:f>COUNTIFS(每日清单!$B$6:$B$75,$A20)</x:f>
        <x:v>7</x:v>
      </x:c>
      <x:c r="D20" s="33" t="n">
        <x:f>COUNTIFS(每日清单!$B$6:$B$75,$A20,每日清单!$H$6:$H$75,"已完成")</x:f>
        <x:v>0</x:v>
      </x:c>
      <x:c r="E20" s="33" t="n">
        <x:f>COUNTIFS(每日清单!$B$6:$B$75,$A20,每日清单!$H$6:$H$75,"进行中")</x:f>
        <x:v>0</x:v>
      </x:c>
      <x:c r="F20" s="35">
        <x:f t="shared" si="0"/>
        <x:v>0</x:v>
      </x:c>
      <x:c r="G20" s="34" t="s">
        <x:v>42</x:v>
      </x:c>
      <x:c r="H20" s="34" t="s">
        <x:v>43</x:v>
      </x:c>
    </x:row>
    <x:row r="21" ht="58" customHeight="1">
      <x:c r="A21" s="36">
        <x:v>10</x:v>
      </x:c>
      <x:c r="B21" s="37" t="s">
        <x:v>44</x:v>
      </x:c>
      <x:c r="C21" s="36" t="n">
        <x:f>COUNTIFS(每日清单!$B$6:$B$75,$A21)</x:f>
        <x:v>7</x:v>
      </x:c>
      <x:c r="D21" s="36" t="n">
        <x:f>COUNTIFS(每日清单!$B$6:$B$75,$A21,每日清单!$H$6:$H$75,"已完成")</x:f>
        <x:v>0</x:v>
      </x:c>
      <x:c r="E21" s="36" t="n">
        <x:f>COUNTIFS(每日清单!$B$6:$B$75,$A21,每日清单!$H$6:$H$75,"进行中")</x:f>
        <x:v>0</x:v>
      </x:c>
      <x:c r="F21" s="38">
        <x:f t="shared" si="0"/>
        <x:v>0</x:v>
      </x:c>
      <x:c r="G21" s="37" t="s">
        <x:v>45</x:v>
      </x:c>
      <x:c r="H21" s="37" t="s">
        <x:v>46</x:v>
      </x:c>
    </x:row>
    <x:row r="22" ht="16.5">
      <x:c r="A22" s="1"/>
      <x:c r="B22" s="1"/>
      <x:c r="C22" s="1"/>
      <x:c r="D22" s="1"/>
      <x:c r="E22" s="1"/>
      <x:c r="F22" s="1"/>
      <x:c r="G22" s="1"/>
      <x:c r="H22" s="1"/>
    </x:row>
    <x:row r="23" ht="16.5">
      <x:c r="A23" s="1"/>
      <x:c r="B23" s="1"/>
      <x:c r="C23" s="1"/>
      <x:c r="D23" s="1"/>
      <x:c r="E23" s="1"/>
      <x:c r="F23" s="1"/>
      <x:c r="G23" s="1"/>
      <x:c r="H23" s="1"/>
    </x:row>
    <x:row r="24" ht="27" customHeight="1">
      <x:c r="A24" s="32" t="s">
        <x:v>47</x:v>
      </x:c>
      <x:c r="B24" s="1"/>
      <x:c r="C24" s="1"/>
      <x:c r="D24" s="1"/>
      <x:c r="E24" s="1"/>
      <x:c r="F24" s="1"/>
      <x:c r="G24" s="1"/>
      <x:c r="H24" s="1"/>
    </x:row>
    <x:row r="25" ht="27" customHeight="1">
      <x:c r="A25" s="1" t="s">
        <x:v>48</x:v>
      </x:c>
      <x:c r="B25" s="1" t="s">
        <x:v>49</x:v>
      </x:c>
      <x:c r="C25" s="1"/>
      <x:c r="D25" s="1"/>
      <x:c r="E25" s="1"/>
      <x:c r="F25" s="1"/>
      <x:c r="G25" s="1"/>
      <x:c r="H25" s="1"/>
    </x:row>
    <x:row r="26" ht="27" customHeight="1">
      <x:c r="A26" s="1" t="s">
        <x:v>50</x:v>
      </x:c>
      <x:c r="B26" s="1" t="s">
        <x:v>51</x:v>
      </x:c>
      <x:c r="C26" s="1"/>
      <x:c r="D26" s="1"/>
      <x:c r="E26" s="1"/>
      <x:c r="F26" s="1"/>
      <x:c r="G26" s="1"/>
      <x:c r="H26" s="1"/>
    </x:row>
    <x:row r="27" ht="27" customHeight="1">
      <x:c r="A27" s="1" t="s">
        <x:v>52</x:v>
      </x:c>
      <x:c r="B27" s="1" t="s">
        <x:v>53</x:v>
      </x:c>
      <x:c r="C27" s="1"/>
      <x:c r="D27" s="1"/>
      <x:c r="E27" s="1"/>
      <x:c r="F27" s="1"/>
      <x:c r="G27" s="1"/>
      <x:c r="H27" s="1"/>
    </x:row>
    <x:row r="28" ht="27" customHeight="1">
      <x:c r="A28" s="1"/>
      <x:c r="B28" s="1"/>
      <x:c r="C28" s="1"/>
      <x:c r="D28" s="1"/>
      <x:c r="E28" s="1"/>
      <x:c r="F28" s="1"/>
      <x:c r="G28" s="1"/>
      <x:c r="H28" s="1"/>
    </x:row>
    <x:row r="29" ht="27" customHeight="1">
      <x:c r="A29" s="32" t="s">
        <x:v>54</x:v>
      </x:c>
      <x:c r="B29" s="1" t="s">
        <x:v>55</x:v>
      </x:c>
      <x:c r="C29" s="1"/>
      <x:c r="D29" s="1"/>
      <x:c r="E29" s="1"/>
      <x:c r="F29" s="1"/>
      <x:c r="G29" s="1"/>
      <x:c r="H29" s="1"/>
    </x:row>
    <x:row r="30" ht="27" customHeight="1">
      <x:c r="A30" s="1"/>
      <x:c r="B30" s="1" t="s">
        <x:v>56</x:v>
      </x:c>
      <x:c r="C30" s="1"/>
      <x:c r="D30" s="1"/>
      <x:c r="E30" s="1"/>
      <x:c r="F30" s="1"/>
      <x:c r="G30" s="1"/>
      <x:c r="H30" s="1"/>
    </x:row>
    <x:row r="31" ht="27" customHeight="1">
      <x:c r="A31" s="1"/>
      <x:c r="B31" s="1" t="s">
        <x:v>57</x:v>
      </x:c>
      <x:c r="C31" s="1"/>
      <x:c r="D31" s="1"/>
      <x:c r="E31" s="1"/>
      <x:c r="F31" s="1"/>
      <x:c r="G31" s="1"/>
      <x:c r="H31" s="1"/>
    </x:row>
    <x:row r="32" ht="27" customHeight="1">
      <x:c r="A32" s="1"/>
      <x:c r="B32" s="1" t="s">
        <x:v>58</x:v>
      </x:c>
      <x:c r="C32" s="1"/>
      <x:c r="D32" s="1"/>
      <x:c r="E32" s="1"/>
      <x:c r="F32" s="1"/>
      <x:c r="G32" s="1"/>
      <x:c r="H32" s="1"/>
    </x:row>
    <x:row r="33" ht="16.5">
      <x:c r="A33" s="1"/>
      <x:c r="B33" s="1"/>
      <x:c r="C33" s="1"/>
      <x:c r="D33" s="1"/>
      <x:c r="E33" s="1"/>
      <x:c r="F33" s="1"/>
      <x:c r="G33" s="1"/>
      <x:c r="H33" s="1"/>
    </x:row>
    <x:row r="34" ht="16.5">
      <x:c r="A34" s="1"/>
      <x:c r="B34" s="1"/>
      <x:c r="C34" s="1"/>
      <x:c r="D34" s="1"/>
      <x:c r="E34" s="1"/>
      <x:c r="F34" s="1"/>
      <x:c r="G34" s="1"/>
      <x:c r="H34" s="1"/>
    </x:row>
    <x:row r="35" ht="16.5">
      <x:c r="A35" s="1"/>
      <x:c r="B35" s="1"/>
      <x:c r="C35" s="1"/>
      <x:c r="D35" s="1"/>
      <x:c r="E35" s="1"/>
      <x:c r="F35" s="1"/>
      <x:c r="G35" s="1"/>
      <x:c r="H35" s="1"/>
    </x:row>
    <x:row r="36" ht="16.5">
      <x:c r="A36" s="1"/>
      <x:c r="B36" s="1"/>
      <x:c r="C36" s="1"/>
      <x:c r="D36" s="1"/>
      <x:c r="E36" s="1"/>
      <x:c r="F36" s="1"/>
      <x:c r="G36" s="1"/>
      <x:c r="H36" s="1"/>
    </x:row>
    <x:row r="37" ht="16.5">
      <x:c r="A37" s="1"/>
      <x:c r="B37" s="1"/>
      <x:c r="C37" s="1"/>
      <x:c r="D37" s="1"/>
      <x:c r="E37" s="1"/>
      <x:c r="F37" s="1"/>
      <x:c r="G37" s="1"/>
      <x:c r="H37" s="1"/>
    </x:row>
    <x:row r="38" ht="16.5">
      <x:c r="A38" s="1"/>
      <x:c r="B38" s="1"/>
      <x:c r="C38" s="1"/>
      <x:c r="D38" s="1"/>
      <x:c r="E38" s="1"/>
      <x:c r="F38" s="1"/>
      <x:c r="G38" s="1"/>
      <x:c r="H38" s="1"/>
    </x:row>
    <x:row r="39" ht="16.5">
      <x:c r="A39" s="1"/>
      <x:c r="B39" s="1"/>
      <x:c r="C39" s="1"/>
      <x:c r="D39" s="1"/>
      <x:c r="E39" s="1"/>
      <x:c r="F39" s="1"/>
      <x:c r="G39" s="1"/>
      <x:c r="H39" s="1"/>
    </x:row>
    <x:row r="40" ht="16.5">
      <x:c r="A40" s="1"/>
      <x:c r="B40" s="1"/>
      <x:c r="C40" s="1"/>
      <x:c r="D40" s="1"/>
      <x:c r="E40" s="1"/>
      <x:c r="F40" s="1"/>
      <x:c r="G40" s="1"/>
      <x:c r="H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466A"/>
  </x:sheetPr>
  <x:sheetViews>
    <x:sheetView showGridLines="0" workbookViewId="0">
      <x:pane xSplit="1" ySplit="7" topLeftCell="B8" activePane="bottomRight" state="frozen"/>
    </x:sheetView>
  </x:sheetViews>
  <x:sheetFormatPr defaultColWidth="9" defaultRowHeight="14"/>
  <x:cols>
    <x:col min="1" max="1" width="9" customWidth="1"/>
    <x:col min="2" max="2" width="7" customWidth="1"/>
    <x:col min="3" max="3" width="17" customWidth="1"/>
    <x:col min="4" max="4" width="24" customWidth="1"/>
    <x:col min="5" max="5" width="48" customWidth="1"/>
    <x:col min="6" max="6" width="30" customWidth="1"/>
    <x:col min="7" max="7" width="48" customWidth="1"/>
    <x:col min="8" max="8" width="12" customWidth="1"/>
    <x:col min="9" max="9" width="13" customWidth="1"/>
    <x:col min="10" max="10" width="30" customWidth="1"/>
    <x:col min="11" max="11" width="13" customWidth="1"/>
    <x:col min="12" max="12" width="11" customWidth="1"/>
    <x:col min="13" max="14" width="23" customWidth="1"/>
    <x:col min="15" max="15" width="30" customWidth="1"/>
    <x:col min="16" max="16" width="22" customWidth="1"/>
    <x:col min="17" max="17" width="11" customWidth="1"/>
  </x:cols>
  <x:sheetData>
    <x:row r="1" ht="16.5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2" customHeight="1">
      <x:c r="A2" s="2" t="s">
        <x:v>59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6.5">
      <x:c r="A3" s="3" t="str">
        <x:v>当前重点：day16 消息内容块与多模态；历史截取延期。每日22:30跟进，黄色格保留手填进度。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16.5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5" t="s">
        <x:v>60</x:v>
      </x:c>
      <x:c r="B5" s="6" t="s">
        <x:v>13</x:v>
      </x:c>
      <x:c r="C5" s="6" t="s">
        <x:v>61</x:v>
      </x:c>
      <x:c r="D5" s="6" t="s">
        <x:v>62</x:v>
      </x:c>
      <x:c r="E5" s="6" t="s">
        <x:v>63</x:v>
      </x:c>
      <x:c r="F5" s="6" t="s">
        <x:v>64</x:v>
      </x:c>
      <x:c r="G5" s="6" t="s">
        <x:v>65</x:v>
      </x:c>
      <x:c r="H5" s="6" t="s">
        <x:v>66</x:v>
      </x:c>
      <x:c r="I5" s="6" t="s">
        <x:v>67</x:v>
      </x:c>
      <x:c r="J5" s="6" t="s">
        <x:v>68</x:v>
      </x:c>
      <x:c r="K5" s="6" t="s">
        <x:v>69</x:v>
      </x:c>
      <x:c r="L5" s="6" t="s">
        <x:v>6</x:v>
      </x:c>
      <x:c r="M5" s="6" t="s">
        <x:v>70</x:v>
      </x:c>
      <x:c r="N5" s="6" t="s">
        <x:v>71</x:v>
      </x:c>
      <x:c r="O5" s="6" t="s">
        <x:v>72</x:v>
      </x:c>
      <x:c r="P5" s="6" t="s">
        <x:v>73</x:v>
      </x:c>
      <x:c r="Q5" s="7" t="s">
        <x:v>7</x:v>
      </x:c>
    </x:row>
    <x:row r="6" ht="280" customHeight="1">
      <x:c r="A6" s="16" t="s">
        <x:v>74</x:v>
      </x:c>
      <x:c r="B6" s="16">
        <x:v>1</x:v>
      </x:c>
      <x:c r="C6" s="8" t="s">
        <x:v>75</x:v>
      </x:c>
      <x:c r="D6" s="8" t="s">
        <x:v>76</x:v>
      </x:c>
      <x:c r="E6" s="8" t="s">
        <x:v>77</x:v>
      </x:c>
      <x:c r="F6" s="8" t="s">
        <x:v>78</x:v>
      </x:c>
      <x:c r="G6" s="8" t="s">
        <x:v>79</x:v>
      </x:c>
      <x:c r="H6" s="17" t="s">
        <x:v>3</x:v>
      </x:c>
      <x:c r="I6" s="18">
        <x:v>46300</x:v>
      </x:c>
      <x:c r="J6" s="19" t="s">
        <x:v>80</x:v>
      </x:c>
      <x:c r="K6" s="20">
        <x:v>46300</x:v>
      </x:c>
      <x:c r="L6" s="21">
        <x:v>3.5</x:v>
      </x:c>
      <x:c r="M6" s="9" t="s">
        <x:v>81</x:v>
      </x:c>
      <x:c r="N6" s="9" t="s">
        <x:v>82</x:v>
      </x:c>
      <x:c r="O6" s="19" t="s">
        <x:v>83</x:v>
      </x:c>
      <x:c r="P6" s="8" t="s">
        <x:v>84</x:v>
      </x:c>
      <x:c r="Q6" s="22"/>
    </x:row>
    <x:row r="7" ht="280" customHeight="1">
      <x:c r="A7" s="23" t="s">
        <x:v>85</x:v>
      </x:c>
      <x:c r="B7" s="23">
        <x:v>1</x:v>
      </x:c>
      <x:c r="C7" s="10" t="s">
        <x:v>75</x:v>
      </x:c>
      <x:c r="D7" s="10" t="s">
        <x:v>86</x:v>
      </x:c>
      <x:c r="E7" s="10" t="s">
        <x:v>87</x:v>
      </x:c>
      <x:c r="F7" s="10" t="s">
        <x:v>88</x:v>
      </x:c>
      <x:c r="G7" s="10" t="s">
        <x:v>89</x:v>
      </x:c>
      <x:c r="H7" s="17" t="s">
        <x:v>3</x:v>
      </x:c>
      <x:c r="I7" s="18"/>
      <x:c r="J7" s="19" t="s">
        <x:v>90</x:v>
      </x:c>
      <x:c r="K7" s="24">
        <x:v>46301</x:v>
      </x:c>
      <x:c r="L7" s="25">
        <x:v>3.5</x:v>
      </x:c>
      <x:c r="M7" s="11" t="s">
        <x:v>91</x:v>
      </x:c>
      <x:c r="N7" s="11" t="s">
        <x:v>92</x:v>
      </x:c>
      <x:c r="O7" s="19"/>
      <x:c r="P7" s="10" t="s">
        <x:v>93</x:v>
      </x:c>
      <x:c r="Q7" s="22"/>
    </x:row>
    <x:row r="8" ht="280" customHeight="1">
      <x:c r="A8" s="16" t="s">
        <x:v>94</x:v>
      </x:c>
      <x:c r="B8" s="16">
        <x:v>1</x:v>
      </x:c>
      <x:c r="C8" s="8" t="s">
        <x:v>75</x:v>
      </x:c>
      <x:c r="D8" s="8" t="s">
        <x:v>95</x:v>
      </x:c>
      <x:c r="E8" s="8" t="s">
        <x:v>96</x:v>
      </x:c>
      <x:c r="F8" s="8" t="s">
        <x:v>97</x:v>
      </x:c>
      <x:c r="G8" s="8" t="s">
        <x:v>98</x:v>
      </x:c>
      <x:c r="H8" s="17" t="s">
        <x:v>8</x:v>
      </x:c>
      <x:c r="I8" s="18"/>
      <x:c r="J8" s="19"/>
      <x:c r="K8" s="20">
        <x:v>46302</x:v>
      </x:c>
      <x:c r="L8" s="21">
        <x:v>3.5</x:v>
      </x:c>
      <x:c r="M8" s="9" t="s">
        <x:v>92</x:v>
      </x:c>
      <x:c r="N8" s="9" t="s">
        <x:v>82</x:v>
      </x:c>
      <x:c r="O8" s="19"/>
      <x:c r="P8" s="8" t="s">
        <x:v>99</x:v>
      </x:c>
      <x:c r="Q8" s="22"/>
    </x:row>
    <x:row r="9" ht="133" customHeight="1">
      <x:c r="A9" s="23" t="s">
        <x:v>100</x:v>
      </x:c>
      <x:c r="B9" s="23">
        <x:v>1</x:v>
      </x:c>
      <x:c r="C9" s="10" t="s">
        <x:v>75</x:v>
      </x:c>
      <x:c r="D9" s="10" t="s">
        <x:v>101</x:v>
      </x:c>
      <x:c r="E9" s="10" t="s">
        <x:v>102</x:v>
      </x:c>
      <x:c r="F9" s="10" t="s">
        <x:v>103</x:v>
      </x:c>
      <x:c r="G9" s="10" t="s">
        <x:v>104</x:v>
      </x:c>
      <x:c r="H9" s="17" t="s">
        <x:v>8</x:v>
      </x:c>
      <x:c r="I9" s="18"/>
      <x:c r="J9" s="19"/>
      <x:c r="K9" s="24">
        <x:v>46303</x:v>
      </x:c>
      <x:c r="L9" s="25">
        <x:v>3.5</x:v>
      </x:c>
      <x:c r="M9" s="11" t="s">
        <x:v>105</x:v>
      </x:c>
      <x:c r="N9" s="11" t="s">
        <x:v>106</x:v>
      </x:c>
      <x:c r="O9" s="19"/>
      <x:c r="P9" s="10" t="s">
        <x:v>107</x:v>
      </x:c>
      <x:c r="Q9" s="22"/>
    </x:row>
    <x:row r="10" ht="116" customHeight="1">
      <x:c r="A10" s="16" t="s">
        <x:v>108</x:v>
      </x:c>
      <x:c r="B10" s="16">
        <x:v>1</x:v>
      </x:c>
      <x:c r="C10" s="8" t="s">
        <x:v>75</x:v>
      </x:c>
      <x:c r="D10" s="8" t="s">
        <x:v>109</x:v>
      </x:c>
      <x:c r="E10" s="8" t="s">
        <x:v>110</x:v>
      </x:c>
      <x:c r="F10" s="8" t="s">
        <x:v>111</x:v>
      </x:c>
      <x:c r="G10" s="8" t="s">
        <x:v>112</x:v>
      </x:c>
      <x:c r="H10" s="17" t="s">
        <x:v>8</x:v>
      </x:c>
      <x:c r="I10" s="18"/>
      <x:c r="J10" s="19"/>
      <x:c r="K10" s="20">
        <x:v>46304</x:v>
      </x:c>
      <x:c r="L10" s="21">
        <x:v>3.5</x:v>
      </x:c>
      <x:c r="M10" s="9" t="s">
        <x:v>113</x:v>
      </x:c>
      <x:c r="N10" s="9" t="s">
        <x:v>82</x:v>
      </x:c>
      <x:c r="O10" s="19"/>
      <x:c r="P10" s="8" t="s">
        <x:v>114</x:v>
      </x:c>
      <x:c r="Q10" s="22"/>
    </x:row>
    <x:row r="11" ht="116" customHeight="1">
      <x:c r="A11" s="23" t="s">
        <x:v>115</x:v>
      </x:c>
      <x:c r="B11" s="23">
        <x:v>1</x:v>
      </x:c>
      <x:c r="C11" s="10" t="s">
        <x:v>75</x:v>
      </x:c>
      <x:c r="D11" s="10" t="s">
        <x:v>116</x:v>
      </x:c>
      <x:c r="E11" s="10" t="s">
        <x:v>117</x:v>
      </x:c>
      <x:c r="F11" s="10" t="s">
        <x:v>118</x:v>
      </x:c>
      <x:c r="G11" s="10" t="s">
        <x:v>119</x:v>
      </x:c>
      <x:c r="H11" s="17" t="s">
        <x:v>8</x:v>
      </x:c>
      <x:c r="I11" s="18"/>
      <x:c r="J11" s="19"/>
      <x:c r="K11" s="24">
        <x:v>46305</x:v>
      </x:c>
      <x:c r="L11" s="25">
        <x:v>3.5</x:v>
      </x:c>
      <x:c r="M11" s="11" t="s">
        <x:v>120</x:v>
      </x:c>
      <x:c r="N11" s="11" t="s">
        <x:v>121</x:v>
      </x:c>
      <x:c r="O11" s="19"/>
      <x:c r="P11" s="10" t="s">
        <x:v>122</x:v>
      </x:c>
      <x:c r="Q11" s="22"/>
    </x:row>
    <x:row r="12" ht="280" customHeight="1">
      <x:c r="A12" s="16" t="s">
        <x:v>123</x:v>
      </x:c>
      <x:c r="B12" s="16">
        <x:v>1</x:v>
      </x:c>
      <x:c r="C12" s="8" t="s">
        <x:v>75</x:v>
      </x:c>
      <x:c r="D12" s="8" t="s">
        <x:v>124</x:v>
      </x:c>
      <x:c r="E12" s="8" t="s">
        <x:v>125</x:v>
      </x:c>
      <x:c r="F12" s="8" t="s">
        <x:v>126</x:v>
      </x:c>
      <x:c r="G12" s="8" t="s">
        <x:v>127</x:v>
      </x:c>
      <x:c r="H12" s="17" t="s">
        <x:v>8</x:v>
      </x:c>
      <x:c r="I12" s="18"/>
      <x:c r="J12" s="19"/>
      <x:c r="K12" s="20">
        <x:v>46306</x:v>
      </x:c>
      <x:c r="L12" s="21">
        <x:v>2.5</x:v>
      </x:c>
      <x:c r="M12" s="9" t="s">
        <x:v>128</x:v>
      </x:c>
      <x:c r="N12" s="9" t="s">
        <x:v>129</x:v>
      </x:c>
      <x:c r="O12" s="19"/>
      <x:c r="P12" s="8" t="s">
        <x:v>130</x:v>
      </x:c>
      <x:c r="Q12" s="22"/>
    </x:row>
    <x:row r="13" ht="133" customHeight="1">
      <x:c r="A13" s="23" t="s">
        <x:v>131</x:v>
      </x:c>
      <x:c r="B13" s="23">
        <x:v>2</x:v>
      </x:c>
      <x:c r="C13" s="10" t="s">
        <x:v>75</x:v>
      </x:c>
      <x:c r="D13" s="10" t="s">
        <x:v>132</x:v>
      </x:c>
      <x:c r="E13" s="10" t="s">
        <x:v>133</x:v>
      </x:c>
      <x:c r="F13" s="10" t="s">
        <x:v>134</x:v>
      </x:c>
      <x:c r="G13" s="10" t="s">
        <x:v>135</x:v>
      </x:c>
      <x:c r="H13" s="17" t="s">
        <x:v>8</x:v>
      </x:c>
      <x:c r="I13" s="18"/>
      <x:c r="J13" s="19" t="s">
        <x:v>136</x:v>
      </x:c>
      <x:c r="K13" s="24">
        <x:v>46307</x:v>
      </x:c>
      <x:c r="L13" s="25">
        <x:v>3.5</x:v>
      </x:c>
      <x:c r="M13" s="11" t="s">
        <x:v>137</x:v>
      </x:c>
      <x:c r="N13" s="11"/>
      <x:c r="O13" s="19"/>
      <x:c r="P13" s="10" t="s">
        <x:v>138</x:v>
      </x:c>
      <x:c r="Q13" s="22"/>
    </x:row>
    <x:row r="14" ht="116" customHeight="1">
      <x:c r="A14" s="16" t="s">
        <x:v>139</x:v>
      </x:c>
      <x:c r="B14" s="16">
        <x:v>2</x:v>
      </x:c>
      <x:c r="C14" s="8" t="s">
        <x:v>75</x:v>
      </x:c>
      <x:c r="D14" s="8" t="s">
        <x:v>140</x:v>
      </x:c>
      <x:c r="E14" s="8" t="s">
        <x:v>141</x:v>
      </x:c>
      <x:c r="F14" s="8" t="s">
        <x:v>142</x:v>
      </x:c>
      <x:c r="G14" s="8" t="s">
        <x:v>143</x:v>
      </x:c>
      <x:c r="H14" s="17" t="s">
        <x:v>8</x:v>
      </x:c>
      <x:c r="I14" s="18"/>
      <x:c r="J14" s="19"/>
      <x:c r="K14" s="20">
        <x:v>46308</x:v>
      </x:c>
      <x:c r="L14" s="21">
        <x:v>3.5</x:v>
      </x:c>
      <x:c r="M14" s="9" t="s">
        <x:v>144</x:v>
      </x:c>
      <x:c r="N14" s="9"/>
      <x:c r="O14" s="19"/>
      <x:c r="P14" s="8" t="s">
        <x:v>145</x:v>
      </x:c>
      <x:c r="Q14" s="22"/>
    </x:row>
    <x:row r="15" ht="104" customHeight="1">
      <x:c r="A15" s="23" t="s">
        <x:v>146</x:v>
      </x:c>
      <x:c r="B15" s="23">
        <x:v>2</x:v>
      </x:c>
      <x:c r="C15" s="10" t="s">
        <x:v>75</x:v>
      </x:c>
      <x:c r="D15" s="10" t="s">
        <x:v>147</x:v>
      </x:c>
      <x:c r="E15" s="10" t="s">
        <x:v>148</x:v>
      </x:c>
      <x:c r="F15" s="10" t="s">
        <x:v>149</x:v>
      </x:c>
      <x:c r="G15" s="10" t="s">
        <x:v>150</x:v>
      </x:c>
      <x:c r="H15" s="17" t="s">
        <x:v>8</x:v>
      </x:c>
      <x:c r="I15" s="18"/>
      <x:c r="J15" s="19" t="s">
        <x:v>136</x:v>
      </x:c>
      <x:c r="K15" s="24">
        <x:v>46309</x:v>
      </x:c>
      <x:c r="L15" s="25">
        <x:v>3.5</x:v>
      </x:c>
      <x:c r="M15" s="11" t="s">
        <x:v>151</x:v>
      </x:c>
      <x:c r="N15" s="11"/>
      <x:c r="O15" s="19"/>
      <x:c r="P15" s="10" t="s">
        <x:v>152</x:v>
      </x:c>
      <x:c r="Q15" s="22"/>
    </x:row>
    <x:row r="16" ht="116" customHeight="1">
      <x:c r="A16" s="16" t="s">
        <x:v>153</x:v>
      </x:c>
      <x:c r="B16" s="16">
        <x:v>2</x:v>
      </x:c>
      <x:c r="C16" s="8" t="s">
        <x:v>75</x:v>
      </x:c>
      <x:c r="D16" s="8" t="s">
        <x:v>154</x:v>
      </x:c>
      <x:c r="E16" s="8" t="s">
        <x:v>155</x:v>
      </x:c>
      <x:c r="F16" s="8" t="s">
        <x:v>156</x:v>
      </x:c>
      <x:c r="G16" s="8" t="s">
        <x:v>157</x:v>
      </x:c>
      <x:c r="H16" s="17" t="s">
        <x:v>8</x:v>
      </x:c>
      <x:c r="I16" s="18"/>
      <x:c r="J16" s="19"/>
      <x:c r="K16" s="20">
        <x:v>46310</x:v>
      </x:c>
      <x:c r="L16" s="21">
        <x:v>3.5</x:v>
      </x:c>
      <x:c r="M16" s="9" t="s">
        <x:v>158</x:v>
      </x:c>
      <x:c r="N16" s="9" t="s">
        <x:v>151</x:v>
      </x:c>
      <x:c r="O16" s="19"/>
      <x:c r="P16" s="8" t="s">
        <x:v>159</x:v>
      </x:c>
      <x:c r="Q16" s="22"/>
    </x:row>
    <x:row r="17" ht="104" customHeight="1">
      <x:c r="A17" s="23" t="s">
        <x:v>160</x:v>
      </x:c>
      <x:c r="B17" s="23">
        <x:v>2</x:v>
      </x:c>
      <x:c r="C17" s="10" t="s">
        <x:v>75</x:v>
      </x:c>
      <x:c r="D17" s="10" t="s">
        <x:v>161</x:v>
      </x:c>
      <x:c r="E17" s="10" t="s">
        <x:v>162</x:v>
      </x:c>
      <x:c r="F17" s="10" t="s">
        <x:v>163</x:v>
      </x:c>
      <x:c r="G17" s="10" t="s">
        <x:v>164</x:v>
      </x:c>
      <x:c r="H17" s="17" t="s">
        <x:v>8</x:v>
      </x:c>
      <x:c r="I17" s="18"/>
      <x:c r="J17" s="19"/>
      <x:c r="K17" s="24">
        <x:v>46311</x:v>
      </x:c>
      <x:c r="L17" s="25">
        <x:v>3.5</x:v>
      </x:c>
      <x:c r="M17" s="11" t="s">
        <x:v>121</x:v>
      </x:c>
      <x:c r="N17" s="11" t="s">
        <x:v>165</x:v>
      </x:c>
      <x:c r="O17" s="19"/>
      <x:c r="P17" s="10" t="s">
        <x:v>166</x:v>
      </x:c>
      <x:c r="Q17" s="22"/>
    </x:row>
    <x:row r="18" ht="104" customHeight="1">
      <x:c r="A18" s="16" t="s">
        <x:v>167</x:v>
      </x:c>
      <x:c r="B18" s="16">
        <x:v>2</x:v>
      </x:c>
      <x:c r="C18" s="8" t="s">
        <x:v>75</x:v>
      </x:c>
      <x:c r="D18" s="8" t="s">
        <x:v>168</x:v>
      </x:c>
      <x:c r="E18" s="8" t="s">
        <x:v>169</x:v>
      </x:c>
      <x:c r="F18" s="8" t="s">
        <x:v>170</x:v>
      </x:c>
      <x:c r="G18" s="8" t="s">
        <x:v>171</x:v>
      </x:c>
      <x:c r="H18" s="17" t="s">
        <x:v>8</x:v>
      </x:c>
      <x:c r="I18" s="18"/>
      <x:c r="J18" s="19"/>
      <x:c r="K18" s="20">
        <x:v>46312</x:v>
      </x:c>
      <x:c r="L18" s="21">
        <x:v>3.5</x:v>
      </x:c>
      <x:c r="M18" s="9" t="s">
        <x:v>82</x:v>
      </x:c>
      <x:c r="N18" s="9" t="s">
        <x:v>172</x:v>
      </x:c>
      <x:c r="O18" s="19"/>
      <x:c r="P18" s="8" t="s">
        <x:v>173</x:v>
      </x:c>
      <x:c r="Q18" s="22"/>
    </x:row>
    <x:row r="19" ht="116" customHeight="1">
      <x:c r="A19" s="23" t="s">
        <x:v>174</x:v>
      </x:c>
      <x:c r="B19" s="23">
        <x:v>2</x:v>
      </x:c>
      <x:c r="C19" s="10" t="s">
        <x:v>75</x:v>
      </x:c>
      <x:c r="D19" s="10" t="s">
        <x:v>175</x:v>
      </x:c>
      <x:c r="E19" s="10" t="s">
        <x:v>176</x:v>
      </x:c>
      <x:c r="F19" s="10" t="s">
        <x:v>177</x:v>
      </x:c>
      <x:c r="G19" s="10" t="s">
        <x:v>178</x:v>
      </x:c>
      <x:c r="H19" s="17" t="s">
        <x:v>8</x:v>
      </x:c>
      <x:c r="I19" s="18"/>
      <x:c r="J19" s="19"/>
      <x:c r="K19" s="24">
        <x:v>46313</x:v>
      </x:c>
      <x:c r="L19" s="25">
        <x:v>2.5</x:v>
      </x:c>
      <x:c r="M19" s="11" t="s">
        <x:v>121</x:v>
      </x:c>
      <x:c r="N19" s="11" t="s">
        <x:v>129</x:v>
      </x:c>
      <x:c r="O19" s="19"/>
      <x:c r="P19" s="10" t="s">
        <x:v>179</x:v>
      </x:c>
      <x:c r="Q19" s="22"/>
    </x:row>
    <x:row r="20" ht="116" customHeight="1">
      <x:c r="A20" s="16" t="s">
        <x:v>180</x:v>
      </x:c>
      <x:c r="B20" s="16">
        <x:v>3</x:v>
      </x:c>
      <x:c r="C20" s="8" t="s">
        <x:v>75</x:v>
      </x:c>
      <x:c r="D20" s="8" t="s">
        <x:v>181</x:v>
      </x:c>
      <x:c r="E20" s="8" t="s">
        <x:v>182</x:v>
      </x:c>
      <x:c r="F20" s="8" t="s">
        <x:v>183</x:v>
      </x:c>
      <x:c r="G20" s="8" t="s">
        <x:v>184</x:v>
      </x:c>
      <x:c r="H20" s="17" t="s">
        <x:v>8</x:v>
      </x:c>
      <x:c r="I20" s="18"/>
      <x:c r="J20" s="19"/>
      <x:c r="K20" s="20">
        <x:v>46314</x:v>
      </x:c>
      <x:c r="L20" s="21">
        <x:v>3.5</x:v>
      </x:c>
      <x:c r="M20" s="9" t="s">
        <x:v>121</x:v>
      </x:c>
      <x:c r="N20" s="9" t="s">
        <x:v>185</x:v>
      </x:c>
      <x:c r="O20" s="19"/>
      <x:c r="P20" s="8" t="s">
        <x:v>186</x:v>
      </x:c>
      <x:c r="Q20" s="22"/>
    </x:row>
    <x:row r="21" ht="116" customHeight="1">
      <x:c r="A21" s="23" t="s">
        <x:v>187</x:v>
      </x:c>
      <x:c r="B21" s="23">
        <x:v>3</x:v>
      </x:c>
      <x:c r="C21" s="10" t="s">
        <x:v>75</x:v>
      </x:c>
      <x:c r="D21" s="10" t="s">
        <x:v>188</x:v>
      </x:c>
      <x:c r="E21" s="10" t="s">
        <x:v>189</x:v>
      </x:c>
      <x:c r="F21" s="10" t="s">
        <x:v>190</x:v>
      </x:c>
      <x:c r="G21" s="10" t="s">
        <x:v>191</x:v>
      </x:c>
      <x:c r="H21" s="17" t="s">
        <x:v>8</x:v>
      </x:c>
      <x:c r="I21" s="18"/>
      <x:c r="J21" s="19"/>
      <x:c r="K21" s="24">
        <x:v>46315</x:v>
      </x:c>
      <x:c r="L21" s="25">
        <x:v>3.5</x:v>
      </x:c>
      <x:c r="M21" s="11" t="s">
        <x:v>151</x:v>
      </x:c>
      <x:c r="N21" s="11" t="s">
        <x:v>144</x:v>
      </x:c>
      <x:c r="O21" s="19"/>
      <x:c r="P21" s="10" t="s">
        <x:v>192</x:v>
      </x:c>
      <x:c r="Q21" s="22"/>
    </x:row>
    <x:row r="22" ht="104" customHeight="1">
      <x:c r="A22" s="16" t="s">
        <x:v>193</x:v>
      </x:c>
      <x:c r="B22" s="16">
        <x:v>3</x:v>
      </x:c>
      <x:c r="C22" s="8" t="s">
        <x:v>75</x:v>
      </x:c>
      <x:c r="D22" s="8" t="s">
        <x:v>194</x:v>
      </x:c>
      <x:c r="E22" s="8" t="s">
        <x:v>195</x:v>
      </x:c>
      <x:c r="F22" s="8" t="s">
        <x:v>196</x:v>
      </x:c>
      <x:c r="G22" s="8" t="s">
        <x:v>197</x:v>
      </x:c>
      <x:c r="H22" s="17" t="s">
        <x:v>8</x:v>
      </x:c>
      <x:c r="I22" s="18"/>
      <x:c r="J22" s="19"/>
      <x:c r="K22" s="20">
        <x:v>46316</x:v>
      </x:c>
      <x:c r="L22" s="21">
        <x:v>3.5</x:v>
      </x:c>
      <x:c r="M22" s="9" t="s">
        <x:v>198</x:v>
      </x:c>
      <x:c r="N22" s="9" t="s">
        <x:v>199</x:v>
      </x:c>
      <x:c r="O22" s="19"/>
      <x:c r="P22" s="8" t="s">
        <x:v>200</x:v>
      </x:c>
      <x:c r="Q22" s="22"/>
    </x:row>
    <x:row r="23" ht="104" customHeight="1">
      <x:c r="A23" s="23" t="s">
        <x:v>201</x:v>
      </x:c>
      <x:c r="B23" s="23">
        <x:v>3</x:v>
      </x:c>
      <x:c r="C23" s="10" t="s">
        <x:v>75</x:v>
      </x:c>
      <x:c r="D23" s="10" t="s">
        <x:v>202</x:v>
      </x:c>
      <x:c r="E23" s="10" t="s">
        <x:v>203</x:v>
      </x:c>
      <x:c r="F23" s="10" t="s">
        <x:v>204</x:v>
      </x:c>
      <x:c r="G23" s="10" t="s">
        <x:v>205</x:v>
      </x:c>
      <x:c r="H23" s="17" t="s">
        <x:v>8</x:v>
      </x:c>
      <x:c r="I23" s="18"/>
      <x:c r="J23" s="19"/>
      <x:c r="K23" s="24">
        <x:v>46317</x:v>
      </x:c>
      <x:c r="L23" s="25">
        <x:v>3.5</x:v>
      </x:c>
      <x:c r="M23" s="11" t="s">
        <x:v>121</x:v>
      </x:c>
      <x:c r="N23" s="11" t="s">
        <x:v>198</x:v>
      </x:c>
      <x:c r="O23" s="19"/>
      <x:c r="P23" s="10" t="s">
        <x:v>206</x:v>
      </x:c>
      <x:c r="Q23" s="22"/>
    </x:row>
    <x:row r="24" ht="184" customHeight="1">
      <x:c r="A24" s="16" t="s">
        <x:v>207</x:v>
      </x:c>
      <x:c r="B24" s="16">
        <x:v>3</x:v>
      </x:c>
      <x:c r="C24" s="8" t="s">
        <x:v>75</x:v>
      </x:c>
      <x:c r="D24" s="8" t="s">
        <x:v>208</x:v>
      </x:c>
      <x:c r="E24" s="8" t="s">
        <x:v>209</x:v>
      </x:c>
      <x:c r="F24" s="8" t="s">
        <x:v>210</x:v>
      </x:c>
      <x:c r="G24" s="8" t="s">
        <x:v>211</x:v>
      </x:c>
      <x:c r="H24" s="17" t="s">
        <x:v>8</x:v>
      </x:c>
      <x:c r="I24" s="18"/>
      <x:c r="J24" s="19"/>
      <x:c r="K24" s="20">
        <x:v>46318</x:v>
      </x:c>
      <x:c r="L24" s="21">
        <x:v>3.5</x:v>
      </x:c>
      <x:c r="M24" s="9" t="s">
        <x:v>121</x:v>
      </x:c>
      <x:c r="N24" s="9" t="s">
        <x:v>212</x:v>
      </x:c>
      <x:c r="O24" s="19"/>
      <x:c r="P24" s="8" t="s">
        <x:v>213</x:v>
      </x:c>
      <x:c r="Q24" s="22"/>
    </x:row>
    <x:row r="25" ht="104" customHeight="1">
      <x:c r="A25" s="23" t="s">
        <x:v>214</x:v>
      </x:c>
      <x:c r="B25" s="23">
        <x:v>3</x:v>
      </x:c>
      <x:c r="C25" s="10" t="s">
        <x:v>75</x:v>
      </x:c>
      <x:c r="D25" s="10" t="s">
        <x:v>215</x:v>
      </x:c>
      <x:c r="E25" s="10" t="s">
        <x:v>216</x:v>
      </x:c>
      <x:c r="F25" s="10" t="s">
        <x:v>217</x:v>
      </x:c>
      <x:c r="G25" s="10" t="s">
        <x:v>218</x:v>
      </x:c>
      <x:c r="H25" s="17" t="s">
        <x:v>8</x:v>
      </x:c>
      <x:c r="I25" s="18"/>
      <x:c r="J25" s="19"/>
      <x:c r="K25" s="24">
        <x:v>46319</x:v>
      </x:c>
      <x:c r="L25" s="25">
        <x:v>3.5</x:v>
      </x:c>
      <x:c r="M25" s="11" t="s">
        <x:v>129</x:v>
      </x:c>
      <x:c r="N25" s="11" t="s">
        <x:v>198</x:v>
      </x:c>
      <x:c r="O25" s="19"/>
      <x:c r="P25" s="10" t="s">
        <x:v>219</x:v>
      </x:c>
      <x:c r="Q25" s="22"/>
    </x:row>
    <x:row r="26" ht="104" customHeight="1">
      <x:c r="A26" s="16" t="s">
        <x:v>220</x:v>
      </x:c>
      <x:c r="B26" s="16">
        <x:v>3</x:v>
      </x:c>
      <x:c r="C26" s="8" t="s">
        <x:v>75</x:v>
      </x:c>
      <x:c r="D26" s="8" t="s">
        <x:v>221</x:v>
      </x:c>
      <x:c r="E26" s="8" t="s">
        <x:v>222</x:v>
      </x:c>
      <x:c r="F26" s="8" t="s">
        <x:v>223</x:v>
      </x:c>
      <x:c r="G26" s="8" t="s">
        <x:v>224</x:v>
      </x:c>
      <x:c r="H26" s="17" t="s">
        <x:v>8</x:v>
      </x:c>
      <x:c r="I26" s="18"/>
      <x:c r="J26" s="19"/>
      <x:c r="K26" s="20">
        <x:v>46320</x:v>
      </x:c>
      <x:c r="L26" s="21">
        <x:v>2.5</x:v>
      </x:c>
      <x:c r="M26" s="9" t="s">
        <x:v>129</x:v>
      </x:c>
      <x:c r="N26" s="9" t="s">
        <x:v>121</x:v>
      </x:c>
      <x:c r="O26" s="19"/>
      <x:c r="P26" s="8" t="s">
        <x:v>225</x:v>
      </x:c>
      <x:c r="Q26" s="22"/>
    </x:row>
    <x:row r="27" ht="116" customHeight="1">
      <x:c r="A27" s="23" t="s">
        <x:v>226</x:v>
      </x:c>
      <x:c r="B27" s="23">
        <x:v>4</x:v>
      </x:c>
      <x:c r="C27" s="10" t="s">
        <x:v>75</x:v>
      </x:c>
      <x:c r="D27" s="10" t="s">
        <x:v>227</x:v>
      </x:c>
      <x:c r="E27" s="10" t="s">
        <x:v>228</x:v>
      </x:c>
      <x:c r="F27" s="10" t="s">
        <x:v>229</x:v>
      </x:c>
      <x:c r="G27" s="10" t="s">
        <x:v>230</x:v>
      </x:c>
      <x:c r="H27" s="17" t="s">
        <x:v>8</x:v>
      </x:c>
      <x:c r="I27" s="18"/>
      <x:c r="J27" s="19"/>
      <x:c r="K27" s="24">
        <x:v>46321</x:v>
      </x:c>
      <x:c r="L27" s="25">
        <x:v>3.5</x:v>
      </x:c>
      <x:c r="M27" s="11" t="s">
        <x:v>158</x:v>
      </x:c>
      <x:c r="N27" s="11" t="s">
        <x:v>212</x:v>
      </x:c>
      <x:c r="O27" s="19"/>
      <x:c r="P27" s="10" t="s">
        <x:v>231</x:v>
      </x:c>
      <x:c r="Q27" s="22"/>
    </x:row>
    <x:row r="28" ht="104" customHeight="1">
      <x:c r="A28" s="16" t="s">
        <x:v>232</x:v>
      </x:c>
      <x:c r="B28" s="16">
        <x:v>4</x:v>
      </x:c>
      <x:c r="C28" s="8" t="s">
        <x:v>75</x:v>
      </x:c>
      <x:c r="D28" s="8" t="s">
        <x:v>233</x:v>
      </x:c>
      <x:c r="E28" s="8" t="s">
        <x:v>234</x:v>
      </x:c>
      <x:c r="F28" s="8" t="s">
        <x:v>235</x:v>
      </x:c>
      <x:c r="G28" s="8" t="s">
        <x:v>236</x:v>
      </x:c>
      <x:c r="H28" s="17" t="s">
        <x:v>8</x:v>
      </x:c>
      <x:c r="I28" s="18"/>
      <x:c r="J28" s="19"/>
      <x:c r="K28" s="20">
        <x:v>46322</x:v>
      </x:c>
      <x:c r="L28" s="21">
        <x:v>3.5</x:v>
      </x:c>
      <x:c r="M28" s="9" t="s">
        <x:v>144</x:v>
      </x:c>
      <x:c r="N28" s="9" t="s">
        <x:v>158</x:v>
      </x:c>
      <x:c r="O28" s="19"/>
      <x:c r="P28" s="8" t="s">
        <x:v>237</x:v>
      </x:c>
      <x:c r="Q28" s="22"/>
    </x:row>
    <x:row r="29" ht="104" customHeight="1">
      <x:c r="A29" s="23" t="s">
        <x:v>238</x:v>
      </x:c>
      <x:c r="B29" s="23">
        <x:v>4</x:v>
      </x:c>
      <x:c r="C29" s="10" t="s">
        <x:v>75</x:v>
      </x:c>
      <x:c r="D29" s="10" t="s">
        <x:v>239</x:v>
      </x:c>
      <x:c r="E29" s="10" t="s">
        <x:v>240</x:v>
      </x:c>
      <x:c r="F29" s="10" t="s">
        <x:v>241</x:v>
      </x:c>
      <x:c r="G29" s="10" t="s">
        <x:v>242</x:v>
      </x:c>
      <x:c r="H29" s="17" t="s">
        <x:v>8</x:v>
      </x:c>
      <x:c r="I29" s="18"/>
      <x:c r="J29" s="19"/>
      <x:c r="K29" s="24">
        <x:v>46323</x:v>
      </x:c>
      <x:c r="L29" s="25">
        <x:v>3.5</x:v>
      </x:c>
      <x:c r="M29" s="11" t="s">
        <x:v>121</x:v>
      </x:c>
      <x:c r="N29" s="11" t="s">
        <x:v>113</x:v>
      </x:c>
      <x:c r="O29" s="19"/>
      <x:c r="P29" s="10" t="s">
        <x:v>243</x:v>
      </x:c>
      <x:c r="Q29" s="22"/>
    </x:row>
    <x:row r="30" ht="116" customHeight="1">
      <x:c r="A30" s="16" t="s">
        <x:v>244</x:v>
      </x:c>
      <x:c r="B30" s="16">
        <x:v>4</x:v>
      </x:c>
      <x:c r="C30" s="8" t="s">
        <x:v>75</x:v>
      </x:c>
      <x:c r="D30" s="8" t="s">
        <x:v>245</x:v>
      </x:c>
      <x:c r="E30" s="8" t="s">
        <x:v>246</x:v>
      </x:c>
      <x:c r="F30" s="8" t="s">
        <x:v>247</x:v>
      </x:c>
      <x:c r="G30" s="8" t="s">
        <x:v>248</x:v>
      </x:c>
      <x:c r="H30" s="17" t="s">
        <x:v>8</x:v>
      </x:c>
      <x:c r="I30" s="18"/>
      <x:c r="J30" s="19"/>
      <x:c r="K30" s="20">
        <x:v>46324</x:v>
      </x:c>
      <x:c r="L30" s="21">
        <x:v>3.5</x:v>
      </x:c>
      <x:c r="M30" s="9" t="s">
        <x:v>249</x:v>
      </x:c>
      <x:c r="N30" s="9"/>
      <x:c r="O30" s="19"/>
      <x:c r="P30" s="8" t="s">
        <x:v>250</x:v>
      </x:c>
      <x:c r="Q30" s="22"/>
    </x:row>
    <x:row r="31" ht="133" customHeight="1">
      <x:c r="A31" s="23" t="s">
        <x:v>251</x:v>
      </x:c>
      <x:c r="B31" s="23">
        <x:v>4</x:v>
      </x:c>
      <x:c r="C31" s="10" t="s">
        <x:v>75</x:v>
      </x:c>
      <x:c r="D31" s="10" t="s">
        <x:v>252</x:v>
      </x:c>
      <x:c r="E31" s="10" t="s">
        <x:v>253</x:v>
      </x:c>
      <x:c r="F31" s="10" t="s">
        <x:v>254</x:v>
      </x:c>
      <x:c r="G31" s="10" t="s">
        <x:v>255</x:v>
      </x:c>
      <x:c r="H31" s="17" t="s">
        <x:v>8</x:v>
      </x:c>
      <x:c r="I31" s="18"/>
      <x:c r="J31" s="19"/>
      <x:c r="K31" s="24">
        <x:v>46325</x:v>
      </x:c>
      <x:c r="L31" s="25">
        <x:v>3.75</x:v>
      </x:c>
      <x:c r="M31" s="11" t="s">
        <x:v>256</x:v>
      </x:c>
      <x:c r="N31" s="11" t="s">
        <x:v>121</x:v>
      </x:c>
      <x:c r="O31" s="19"/>
      <x:c r="P31" s="10" t="s">
        <x:v>257</x:v>
      </x:c>
      <x:c r="Q31" s="22"/>
    </x:row>
    <x:row r="32" ht="104" customHeight="1">
      <x:c r="A32" s="16" t="s">
        <x:v>258</x:v>
      </x:c>
      <x:c r="B32" s="16">
        <x:v>4</x:v>
      </x:c>
      <x:c r="C32" s="8" t="s">
        <x:v>75</x:v>
      </x:c>
      <x:c r="D32" s="8" t="s">
        <x:v>259</x:v>
      </x:c>
      <x:c r="E32" s="8" t="s">
        <x:v>260</x:v>
      </x:c>
      <x:c r="F32" s="8" t="s">
        <x:v>261</x:v>
      </x:c>
      <x:c r="G32" s="8" t="s">
        <x:v>262</x:v>
      </x:c>
      <x:c r="H32" s="17" t="s">
        <x:v>8</x:v>
      </x:c>
      <x:c r="I32" s="18"/>
      <x:c r="J32" s="19"/>
      <x:c r="K32" s="20">
        <x:v>46326</x:v>
      </x:c>
      <x:c r="L32" s="21">
        <x:v>3.5</x:v>
      </x:c>
      <x:c r="M32" s="9" t="s">
        <x:v>129</x:v>
      </x:c>
      <x:c r="N32" s="9" t="s">
        <x:v>263</x:v>
      </x:c>
      <x:c r="O32" s="19"/>
      <x:c r="P32" s="8" t="s">
        <x:v>264</x:v>
      </x:c>
      <x:c r="Q32" s="22"/>
    </x:row>
    <x:row r="33" ht="150" customHeight="1">
      <x:c r="A33" s="23" t="s">
        <x:v>265</x:v>
      </x:c>
      <x:c r="B33" s="23">
        <x:v>4</x:v>
      </x:c>
      <x:c r="C33" s="10" t="s">
        <x:v>75</x:v>
      </x:c>
      <x:c r="D33" s="10" t="s">
        <x:v>266</x:v>
      </x:c>
      <x:c r="E33" s="10" t="s">
        <x:v>267</x:v>
      </x:c>
      <x:c r="F33" s="10" t="s">
        <x:v>268</x:v>
      </x:c>
      <x:c r="G33" s="10" t="s">
        <x:v>269</x:v>
      </x:c>
      <x:c r="H33" s="17" t="s">
        <x:v>8</x:v>
      </x:c>
      <x:c r="I33" s="18"/>
      <x:c r="J33" s="19"/>
      <x:c r="K33" s="24">
        <x:v>46327</x:v>
      </x:c>
      <x:c r="L33" s="25">
        <x:v>2.5</x:v>
      </x:c>
      <x:c r="M33" s="11" t="s">
        <x:v>121</x:v>
      </x:c>
      <x:c r="N33" s="11" t="s">
        <x:v>129</x:v>
      </x:c>
      <x:c r="O33" s="19"/>
      <x:c r="P33" s="10" t="s">
        <x:v>270</x:v>
      </x:c>
      <x:c r="Q33" s="22"/>
    </x:row>
    <x:row r="34" ht="104" customHeight="1">
      <x:c r="A34" s="16" t="s">
        <x:v>271</x:v>
      </x:c>
      <x:c r="B34" s="16">
        <x:v>5</x:v>
      </x:c>
      <x:c r="C34" s="8" t="s">
        <x:v>272</x:v>
      </x:c>
      <x:c r="D34" s="8" t="s">
        <x:v>273</x:v>
      </x:c>
      <x:c r="E34" s="8" t="s">
        <x:v>274</x:v>
      </x:c>
      <x:c r="F34" s="8" t="s">
        <x:v>275</x:v>
      </x:c>
      <x:c r="G34" s="8" t="s">
        <x:v>276</x:v>
      </x:c>
      <x:c r="H34" s="17" t="s">
        <x:v>8</x:v>
      </x:c>
      <x:c r="I34" s="18"/>
      <x:c r="J34" s="19"/>
      <x:c r="K34" s="20">
        <x:v>46328</x:v>
      </x:c>
      <x:c r="L34" s="21">
        <x:v>3.5</x:v>
      </x:c>
      <x:c r="M34" s="9" t="s">
        <x:v>277</x:v>
      </x:c>
      <x:c r="N34" s="9"/>
      <x:c r="O34" s="19"/>
      <x:c r="P34" s="8" t="s">
        <x:v>278</x:v>
      </x:c>
      <x:c r="Q34" s="22"/>
    </x:row>
    <x:row r="35" ht="104" customHeight="1">
      <x:c r="A35" s="23" t="s">
        <x:v>279</x:v>
      </x:c>
      <x:c r="B35" s="23">
        <x:v>5</x:v>
      </x:c>
      <x:c r="C35" s="10" t="s">
        <x:v>272</x:v>
      </x:c>
      <x:c r="D35" s="10" t="s">
        <x:v>280</x:v>
      </x:c>
      <x:c r="E35" s="10" t="s">
        <x:v>281</x:v>
      </x:c>
      <x:c r="F35" s="10" t="s">
        <x:v>282</x:v>
      </x:c>
      <x:c r="G35" s="10" t="s">
        <x:v>283</x:v>
      </x:c>
      <x:c r="H35" s="17" t="s">
        <x:v>8</x:v>
      </x:c>
      <x:c r="I35" s="18"/>
      <x:c r="J35" s="19"/>
      <x:c r="K35" s="24">
        <x:v>46329</x:v>
      </x:c>
      <x:c r="L35" s="25">
        <x:v>3.5</x:v>
      </x:c>
      <x:c r="M35" s="11" t="s">
        <x:v>277</x:v>
      </x:c>
      <x:c r="N35" s="11" t="s">
        <x:v>82</x:v>
      </x:c>
      <x:c r="O35" s="19"/>
      <x:c r="P35" s="10" t="s">
        <x:v>284</x:v>
      </x:c>
      <x:c r="Q35" s="22"/>
    </x:row>
    <x:row r="36" ht="116" customHeight="1">
      <x:c r="A36" s="16" t="s">
        <x:v>285</x:v>
      </x:c>
      <x:c r="B36" s="16">
        <x:v>5</x:v>
      </x:c>
      <x:c r="C36" s="8" t="s">
        <x:v>272</x:v>
      </x:c>
      <x:c r="D36" s="8" t="s">
        <x:v>286</x:v>
      </x:c>
      <x:c r="E36" s="8" t="s">
        <x:v>287</x:v>
      </x:c>
      <x:c r="F36" s="8" t="s">
        <x:v>288</x:v>
      </x:c>
      <x:c r="G36" s="8" t="s">
        <x:v>289</x:v>
      </x:c>
      <x:c r="H36" s="17" t="s">
        <x:v>8</x:v>
      </x:c>
      <x:c r="I36" s="18"/>
      <x:c r="J36" s="19"/>
      <x:c r="K36" s="20">
        <x:v>46330</x:v>
      </x:c>
      <x:c r="L36" s="21">
        <x:v>3.75</x:v>
      </x:c>
      <x:c r="M36" s="9" t="s">
        <x:v>290</x:v>
      </x:c>
      <x:c r="N36" s="9" t="s">
        <x:v>291</x:v>
      </x:c>
      <x:c r="O36" s="19"/>
      <x:c r="P36" s="8" t="s">
        <x:v>292</x:v>
      </x:c>
      <x:c r="Q36" s="22"/>
    </x:row>
    <x:row r="37" ht="104" customHeight="1">
      <x:c r="A37" s="23" t="s">
        <x:v>293</x:v>
      </x:c>
      <x:c r="B37" s="23">
        <x:v>5</x:v>
      </x:c>
      <x:c r="C37" s="10" t="s">
        <x:v>272</x:v>
      </x:c>
      <x:c r="D37" s="10" t="s">
        <x:v>294</x:v>
      </x:c>
      <x:c r="E37" s="10" t="s">
        <x:v>295</x:v>
      </x:c>
      <x:c r="F37" s="10" t="s">
        <x:v>296</x:v>
      </x:c>
      <x:c r="G37" s="10" t="s">
        <x:v>297</x:v>
      </x:c>
      <x:c r="H37" s="17" t="s">
        <x:v>8</x:v>
      </x:c>
      <x:c r="I37" s="18"/>
      <x:c r="J37" s="19"/>
      <x:c r="K37" s="24">
        <x:v>46331</x:v>
      </x:c>
      <x:c r="L37" s="25">
        <x:v>3.5</x:v>
      </x:c>
      <x:c r="M37" s="11" t="s">
        <x:v>277</x:v>
      </x:c>
      <x:c r="N37" s="11" t="s">
        <x:v>290</x:v>
      </x:c>
      <x:c r="O37" s="19"/>
      <x:c r="P37" s="10" t="s">
        <x:v>298</x:v>
      </x:c>
      <x:c r="Q37" s="22"/>
    </x:row>
    <x:row r="38" ht="116" customHeight="1">
      <x:c r="A38" s="16" t="s">
        <x:v>299</x:v>
      </x:c>
      <x:c r="B38" s="16">
        <x:v>5</x:v>
      </x:c>
      <x:c r="C38" s="8" t="s">
        <x:v>272</x:v>
      </x:c>
      <x:c r="D38" s="8" t="s">
        <x:v>300</x:v>
      </x:c>
      <x:c r="E38" s="8" t="s">
        <x:v>301</x:v>
      </x:c>
      <x:c r="F38" s="8" t="s">
        <x:v>302</x:v>
      </x:c>
      <x:c r="G38" s="8" t="s">
        <x:v>303</x:v>
      </x:c>
      <x:c r="H38" s="17" t="s">
        <x:v>8</x:v>
      </x:c>
      <x:c r="I38" s="18"/>
      <x:c r="J38" s="19"/>
      <x:c r="K38" s="20">
        <x:v>46332</x:v>
      </x:c>
      <x:c r="L38" s="21">
        <x:v>3.5</x:v>
      </x:c>
      <x:c r="M38" s="9" t="s">
        <x:v>277</x:v>
      </x:c>
      <x:c r="N38" s="9" t="s">
        <x:v>291</x:v>
      </x:c>
      <x:c r="O38" s="19"/>
      <x:c r="P38" s="8" t="s">
        <x:v>304</x:v>
      </x:c>
      <x:c r="Q38" s="22"/>
    </x:row>
    <x:row r="39" ht="104" customHeight="1">
      <x:c r="A39" s="23" t="s">
        <x:v>305</x:v>
      </x:c>
      <x:c r="B39" s="23">
        <x:v>5</x:v>
      </x:c>
      <x:c r="C39" s="10" t="s">
        <x:v>272</x:v>
      </x:c>
      <x:c r="D39" s="10" t="s">
        <x:v>306</x:v>
      </x:c>
      <x:c r="E39" s="10" t="s">
        <x:v>307</x:v>
      </x:c>
      <x:c r="F39" s="10" t="s">
        <x:v>308</x:v>
      </x:c>
      <x:c r="G39" s="10" t="s">
        <x:v>309</x:v>
      </x:c>
      <x:c r="H39" s="17" t="s">
        <x:v>8</x:v>
      </x:c>
      <x:c r="I39" s="18"/>
      <x:c r="J39" s="19"/>
      <x:c r="K39" s="24">
        <x:v>46333</x:v>
      </x:c>
      <x:c r="L39" s="25">
        <x:v>3.5</x:v>
      </x:c>
      <x:c r="M39" s="11" t="s">
        <x:v>249</x:v>
      </x:c>
      <x:c r="N39" s="11" t="s">
        <x:v>290</x:v>
      </x:c>
      <x:c r="O39" s="19"/>
      <x:c r="P39" s="10" t="s">
        <x:v>310</x:v>
      </x:c>
      <x:c r="Q39" s="22"/>
    </x:row>
    <x:row r="40" ht="116" customHeight="1">
      <x:c r="A40" s="16" t="s">
        <x:v>311</x:v>
      </x:c>
      <x:c r="B40" s="16">
        <x:v>5</x:v>
      </x:c>
      <x:c r="C40" s="8" t="s">
        <x:v>272</x:v>
      </x:c>
      <x:c r="D40" s="8" t="s">
        <x:v>312</x:v>
      </x:c>
      <x:c r="E40" s="8" t="s">
        <x:v>313</x:v>
      </x:c>
      <x:c r="F40" s="8" t="s">
        <x:v>314</x:v>
      </x:c>
      <x:c r="G40" s="8" t="s">
        <x:v>315</x:v>
      </x:c>
      <x:c r="H40" s="17" t="s">
        <x:v>8</x:v>
      </x:c>
      <x:c r="I40" s="18"/>
      <x:c r="J40" s="19"/>
      <x:c r="K40" s="20">
        <x:v>46334</x:v>
      </x:c>
      <x:c r="L40" s="21">
        <x:v>2.5</x:v>
      </x:c>
      <x:c r="M40" s="9" t="s">
        <x:v>277</x:v>
      </x:c>
      <x:c r="N40" s="9" t="s">
        <x:v>291</x:v>
      </x:c>
      <x:c r="O40" s="19"/>
      <x:c r="P40" s="8" t="s">
        <x:v>316</x:v>
      </x:c>
      <x:c r="Q40" s="22"/>
    </x:row>
    <x:row r="41" ht="116" customHeight="1">
      <x:c r="A41" s="23" t="s">
        <x:v>317</x:v>
      </x:c>
      <x:c r="B41" s="23">
        <x:v>6</x:v>
      </x:c>
      <x:c r="C41" s="10" t="s">
        <x:v>272</x:v>
      </x:c>
      <x:c r="D41" s="10" t="s">
        <x:v>318</x:v>
      </x:c>
      <x:c r="E41" s="10" t="s">
        <x:v>319</x:v>
      </x:c>
      <x:c r="F41" s="10" t="s">
        <x:v>320</x:v>
      </x:c>
      <x:c r="G41" s="10" t="s">
        <x:v>321</x:v>
      </x:c>
      <x:c r="H41" s="17" t="s">
        <x:v>8</x:v>
      </x:c>
      <x:c r="I41" s="18"/>
      <x:c r="J41" s="19"/>
      <x:c r="K41" s="24">
        <x:v>46335</x:v>
      </x:c>
      <x:c r="L41" s="25">
        <x:v>3.5</x:v>
      </x:c>
      <x:c r="M41" s="11" t="s">
        <x:v>120</x:v>
      </x:c>
      <x:c r="N41" s="11" t="s">
        <x:v>322</x:v>
      </x:c>
      <x:c r="O41" s="19"/>
      <x:c r="P41" s="10" t="s">
        <x:v>323</x:v>
      </x:c>
      <x:c r="Q41" s="22"/>
    </x:row>
    <x:row r="42" ht="104" customHeight="1">
      <x:c r="A42" s="16" t="s">
        <x:v>324</x:v>
      </x:c>
      <x:c r="B42" s="16">
        <x:v>6</x:v>
      </x:c>
      <x:c r="C42" s="8" t="s">
        <x:v>272</x:v>
      </x:c>
      <x:c r="D42" s="8" t="s">
        <x:v>325</x:v>
      </x:c>
      <x:c r="E42" s="8" t="s">
        <x:v>326</x:v>
      </x:c>
      <x:c r="F42" s="8" t="s">
        <x:v>327</x:v>
      </x:c>
      <x:c r="G42" s="8" t="s">
        <x:v>328</x:v>
      </x:c>
      <x:c r="H42" s="17" t="s">
        <x:v>8</x:v>
      </x:c>
      <x:c r="I42" s="18"/>
      <x:c r="J42" s="19"/>
      <x:c r="K42" s="20">
        <x:v>46336</x:v>
      </x:c>
      <x:c r="L42" s="21">
        <x:v>3.5</x:v>
      </x:c>
      <x:c r="M42" s="9" t="s">
        <x:v>113</x:v>
      </x:c>
      <x:c r="N42" s="9" t="s">
        <x:v>277</x:v>
      </x:c>
      <x:c r="O42" s="19"/>
      <x:c r="P42" s="8" t="s">
        <x:v>329</x:v>
      </x:c>
      <x:c r="Q42" s="22"/>
    </x:row>
    <x:row r="43" ht="116" customHeight="1">
      <x:c r="A43" s="23" t="s">
        <x:v>330</x:v>
      </x:c>
      <x:c r="B43" s="23">
        <x:v>6</x:v>
      </x:c>
      <x:c r="C43" s="10" t="s">
        <x:v>272</x:v>
      </x:c>
      <x:c r="D43" s="10" t="s">
        <x:v>331</x:v>
      </x:c>
      <x:c r="E43" s="10" t="s">
        <x:v>332</x:v>
      </x:c>
      <x:c r="F43" s="10" t="s">
        <x:v>333</x:v>
      </x:c>
      <x:c r="G43" s="10" t="s">
        <x:v>334</x:v>
      </x:c>
      <x:c r="H43" s="17" t="s">
        <x:v>8</x:v>
      </x:c>
      <x:c r="I43" s="18"/>
      <x:c r="J43" s="19"/>
      <x:c r="K43" s="24">
        <x:v>46337</x:v>
      </x:c>
      <x:c r="L43" s="25">
        <x:v>3.5</x:v>
      </x:c>
      <x:c r="M43" s="11" t="s">
        <x:v>198</x:v>
      </x:c>
      <x:c r="N43" s="11" t="s">
        <x:v>322</x:v>
      </x:c>
      <x:c r="O43" s="19"/>
      <x:c r="P43" s="10" t="s">
        <x:v>335</x:v>
      </x:c>
      <x:c r="Q43" s="22"/>
    </x:row>
    <x:row r="44" ht="116" customHeight="1">
      <x:c r="A44" s="16" t="s">
        <x:v>336</x:v>
      </x:c>
      <x:c r="B44" s="16">
        <x:v>6</x:v>
      </x:c>
      <x:c r="C44" s="8" t="s">
        <x:v>272</x:v>
      </x:c>
      <x:c r="D44" s="8" t="s">
        <x:v>337</x:v>
      </x:c>
      <x:c r="E44" s="8" t="s">
        <x:v>338</x:v>
      </x:c>
      <x:c r="F44" s="8" t="s">
        <x:v>339</x:v>
      </x:c>
      <x:c r="G44" s="8" t="s">
        <x:v>340</x:v>
      </x:c>
      <x:c r="H44" s="17" t="s">
        <x:v>8</x:v>
      </x:c>
      <x:c r="I44" s="18"/>
      <x:c r="J44" s="19"/>
      <x:c r="K44" s="20">
        <x:v>46338</x:v>
      </x:c>
      <x:c r="L44" s="21">
        <x:v>3.5</x:v>
      </x:c>
      <x:c r="M44" s="9" t="s">
        <x:v>198</x:v>
      </x:c>
      <x:c r="N44" s="9" t="s">
        <x:v>199</x:v>
      </x:c>
      <x:c r="O44" s="19"/>
      <x:c r="P44" s="8" t="s">
        <x:v>341</x:v>
      </x:c>
      <x:c r="Q44" s="22"/>
    </x:row>
    <x:row r="45" ht="150" customHeight="1">
      <x:c r="A45" s="23" t="s">
        <x:v>342</x:v>
      </x:c>
      <x:c r="B45" s="23">
        <x:v>6</x:v>
      </x:c>
      <x:c r="C45" s="10" t="s">
        <x:v>272</x:v>
      </x:c>
      <x:c r="D45" s="10" t="s">
        <x:v>343</x:v>
      </x:c>
      <x:c r="E45" s="10" t="s">
        <x:v>344</x:v>
      </x:c>
      <x:c r="F45" s="10" t="s">
        <x:v>345</x:v>
      </x:c>
      <x:c r="G45" s="10" t="s">
        <x:v>346</x:v>
      </x:c>
      <x:c r="H45" s="17" t="s">
        <x:v>8</x:v>
      </x:c>
      <x:c r="I45" s="18"/>
      <x:c r="J45" s="19"/>
      <x:c r="K45" s="24">
        <x:v>46339</x:v>
      </x:c>
      <x:c r="L45" s="25">
        <x:v>3.5</x:v>
      </x:c>
      <x:c r="M45" s="11" t="s">
        <x:v>212</x:v>
      </x:c>
      <x:c r="N45" s="11" t="s">
        <x:v>277</x:v>
      </x:c>
      <x:c r="O45" s="19"/>
      <x:c r="P45" s="10" t="s">
        <x:v>347</x:v>
      </x:c>
      <x:c r="Q45" s="22"/>
    </x:row>
    <x:row r="46" ht="116" customHeight="1">
      <x:c r="A46" s="16" t="s">
        <x:v>348</x:v>
      </x:c>
      <x:c r="B46" s="16">
        <x:v>6</x:v>
      </x:c>
      <x:c r="C46" s="8" t="s">
        <x:v>272</x:v>
      </x:c>
      <x:c r="D46" s="8" t="s">
        <x:v>349</x:v>
      </x:c>
      <x:c r="E46" s="8" t="s">
        <x:v>350</x:v>
      </x:c>
      <x:c r="F46" s="8" t="s">
        <x:v>351</x:v>
      </x:c>
      <x:c r="G46" s="8" t="s">
        <x:v>352</x:v>
      </x:c>
      <x:c r="H46" s="17" t="s">
        <x:v>8</x:v>
      </x:c>
      <x:c r="I46" s="18"/>
      <x:c r="J46" s="19"/>
      <x:c r="K46" s="20">
        <x:v>46340</x:v>
      </x:c>
      <x:c r="L46" s="21">
        <x:v>3.5</x:v>
      </x:c>
      <x:c r="M46" s="9" t="s">
        <x:v>128</x:v>
      </x:c>
      <x:c r="N46" s="9" t="s">
        <x:v>291</x:v>
      </x:c>
      <x:c r="O46" s="19"/>
      <x:c r="P46" s="8" t="s">
        <x:v>353</x:v>
      </x:c>
      <x:c r="Q46" s="22"/>
    </x:row>
    <x:row r="47" ht="133" customHeight="1">
      <x:c r="A47" s="23" t="s">
        <x:v>354</x:v>
      </x:c>
      <x:c r="B47" s="23">
        <x:v>6</x:v>
      </x:c>
      <x:c r="C47" s="10" t="s">
        <x:v>272</x:v>
      </x:c>
      <x:c r="D47" s="10" t="s">
        <x:v>355</x:v>
      </x:c>
      <x:c r="E47" s="10" t="s">
        <x:v>356</x:v>
      </x:c>
      <x:c r="F47" s="10" t="s">
        <x:v>357</x:v>
      </x:c>
      <x:c r="G47" s="10" t="s">
        <x:v>358</x:v>
      </x:c>
      <x:c r="H47" s="17" t="s">
        <x:v>8</x:v>
      </x:c>
      <x:c r="I47" s="18"/>
      <x:c r="J47" s="19"/>
      <x:c r="K47" s="24">
        <x:v>46341</x:v>
      </x:c>
      <x:c r="L47" s="25">
        <x:v>2.5</x:v>
      </x:c>
      <x:c r="M47" s="11" t="s">
        <x:v>129</x:v>
      </x:c>
      <x:c r="N47" s="11" t="s">
        <x:v>277</x:v>
      </x:c>
      <x:c r="O47" s="19"/>
      <x:c r="P47" s="10" t="s">
        <x:v>359</x:v>
      </x:c>
      <x:c r="Q47" s="22"/>
    </x:row>
    <x:row r="48" ht="116" customHeight="1">
      <x:c r="A48" s="16" t="s">
        <x:v>360</x:v>
      </x:c>
      <x:c r="B48" s="16">
        <x:v>7</x:v>
      </x:c>
      <x:c r="C48" s="8" t="s">
        <x:v>272</x:v>
      </x:c>
      <x:c r="D48" s="8" t="s">
        <x:v>361</x:v>
      </x:c>
      <x:c r="E48" s="8" t="s">
        <x:v>362</x:v>
      </x:c>
      <x:c r="F48" s="8" t="s">
        <x:v>363</x:v>
      </x:c>
      <x:c r="G48" s="8" t="s">
        <x:v>364</x:v>
      </x:c>
      <x:c r="H48" s="17" t="s">
        <x:v>8</x:v>
      </x:c>
      <x:c r="I48" s="18"/>
      <x:c r="J48" s="19"/>
      <x:c r="K48" s="20">
        <x:v>46342</x:v>
      </x:c>
      <x:c r="L48" s="21">
        <x:v>3.5</x:v>
      </x:c>
      <x:c r="M48" s="9" t="s">
        <x:v>212</x:v>
      </x:c>
      <x:c r="N48" s="9" t="s">
        <x:v>128</x:v>
      </x:c>
      <x:c r="O48" s="19"/>
      <x:c r="P48" s="8" t="s">
        <x:v>365</x:v>
      </x:c>
      <x:c r="Q48" s="22"/>
    </x:row>
    <x:row r="49" ht="116" customHeight="1">
      <x:c r="A49" s="23" t="s">
        <x:v>366</x:v>
      </x:c>
      <x:c r="B49" s="23">
        <x:v>7</x:v>
      </x:c>
      <x:c r="C49" s="10" t="s">
        <x:v>272</x:v>
      </x:c>
      <x:c r="D49" s="10" t="s">
        <x:v>367</x:v>
      </x:c>
      <x:c r="E49" s="10" t="s">
        <x:v>368</x:v>
      </x:c>
      <x:c r="F49" s="10" t="s">
        <x:v>369</x:v>
      </x:c>
      <x:c r="G49" s="10" t="s">
        <x:v>370</x:v>
      </x:c>
      <x:c r="H49" s="17" t="s">
        <x:v>8</x:v>
      </x:c>
      <x:c r="I49" s="18"/>
      <x:c r="J49" s="19"/>
      <x:c r="K49" s="24">
        <x:v>46343</x:v>
      </x:c>
      <x:c r="L49" s="25">
        <x:v>3.5</x:v>
      </x:c>
      <x:c r="M49" s="11" t="s">
        <x:v>371</x:v>
      </x:c>
      <x:c r="N49" s="11" t="s">
        <x:v>372</x:v>
      </x:c>
      <x:c r="O49" s="19"/>
      <x:c r="P49" s="10" t="s">
        <x:v>373</x:v>
      </x:c>
      <x:c r="Q49" s="22"/>
    </x:row>
    <x:row r="50" ht="104" customHeight="1">
      <x:c r="A50" s="16" t="s">
        <x:v>374</x:v>
      </x:c>
      <x:c r="B50" s="16">
        <x:v>7</x:v>
      </x:c>
      <x:c r="C50" s="8" t="s">
        <x:v>272</x:v>
      </x:c>
      <x:c r="D50" s="8" t="s">
        <x:v>375</x:v>
      </x:c>
      <x:c r="E50" s="8" t="s">
        <x:v>376</x:v>
      </x:c>
      <x:c r="F50" s="8" t="s">
        <x:v>377</x:v>
      </x:c>
      <x:c r="G50" s="8" t="s">
        <x:v>378</x:v>
      </x:c>
      <x:c r="H50" s="17" t="s">
        <x:v>8</x:v>
      </x:c>
      <x:c r="I50" s="18"/>
      <x:c r="J50" s="19" t="s">
        <x:v>136</x:v>
      </x:c>
      <x:c r="K50" s="20">
        <x:v>46344</x:v>
      </x:c>
      <x:c r="L50" s="21">
        <x:v>3.75</x:v>
      </x:c>
      <x:c r="M50" s="9" t="s">
        <x:v>379</x:v>
      </x:c>
      <x:c r="N50" s="9" t="s">
        <x:v>380</x:v>
      </x:c>
      <x:c r="O50" s="19"/>
      <x:c r="P50" s="8" t="s">
        <x:v>381</x:v>
      </x:c>
      <x:c r="Q50" s="22"/>
    </x:row>
    <x:row r="51" ht="116" customHeight="1">
      <x:c r="A51" s="23" t="s">
        <x:v>382</x:v>
      </x:c>
      <x:c r="B51" s="23">
        <x:v>7</x:v>
      </x:c>
      <x:c r="C51" s="10" t="s">
        <x:v>272</x:v>
      </x:c>
      <x:c r="D51" s="10" t="s">
        <x:v>383</x:v>
      </x:c>
      <x:c r="E51" s="10" t="s">
        <x:v>384</x:v>
      </x:c>
      <x:c r="F51" s="10" t="s">
        <x:v>385</x:v>
      </x:c>
      <x:c r="G51" s="10" t="s">
        <x:v>386</x:v>
      </x:c>
      <x:c r="H51" s="17" t="s">
        <x:v>8</x:v>
      </x:c>
      <x:c r="I51" s="18"/>
      <x:c r="J51" s="19"/>
      <x:c r="K51" s="24">
        <x:v>46345</x:v>
      </x:c>
      <x:c r="L51" s="25">
        <x:v>3.5</x:v>
      </x:c>
      <x:c r="M51" s="11" t="s">
        <x:v>380</x:v>
      </x:c>
      <x:c r="N51" s="11" t="s">
        <x:v>263</x:v>
      </x:c>
      <x:c r="O51" s="19"/>
      <x:c r="P51" s="10" t="s">
        <x:v>387</x:v>
      </x:c>
      <x:c r="Q51" s="22"/>
    </x:row>
    <x:row r="52" ht="104" customHeight="1">
      <x:c r="A52" s="16" t="s">
        <x:v>388</x:v>
      </x:c>
      <x:c r="B52" s="16">
        <x:v>7</x:v>
      </x:c>
      <x:c r="C52" s="8" t="s">
        <x:v>272</x:v>
      </x:c>
      <x:c r="D52" s="8" t="s">
        <x:v>389</x:v>
      </x:c>
      <x:c r="E52" s="8" t="s">
        <x:v>390</x:v>
      </x:c>
      <x:c r="F52" s="8" t="s">
        <x:v>391</x:v>
      </x:c>
      <x:c r="G52" s="8" t="s">
        <x:v>392</x:v>
      </x:c>
      <x:c r="H52" s="17" t="s">
        <x:v>8</x:v>
      </x:c>
      <x:c r="I52" s="18"/>
      <x:c r="J52" s="19"/>
      <x:c r="K52" s="20">
        <x:v>46346</x:v>
      </x:c>
      <x:c r="L52" s="21">
        <x:v>3.5</x:v>
      </x:c>
      <x:c r="M52" s="9" t="s">
        <x:v>393</x:v>
      </x:c>
      <x:c r="N52" s="9"/>
      <x:c r="O52" s="19"/>
      <x:c r="P52" s="8" t="s">
        <x:v>394</x:v>
      </x:c>
      <x:c r="Q52" s="22"/>
    </x:row>
    <x:row r="53" ht="116" customHeight="1">
      <x:c r="A53" s="23" t="s">
        <x:v>395</x:v>
      </x:c>
      <x:c r="B53" s="23">
        <x:v>7</x:v>
      </x:c>
      <x:c r="C53" s="10" t="s">
        <x:v>272</x:v>
      </x:c>
      <x:c r="D53" s="10" t="s">
        <x:v>396</x:v>
      </x:c>
      <x:c r="E53" s="10" t="s">
        <x:v>397</x:v>
      </x:c>
      <x:c r="F53" s="10" t="s">
        <x:v>398</x:v>
      </x:c>
      <x:c r="G53" s="10" t="s">
        <x:v>399</x:v>
      </x:c>
      <x:c r="H53" s="17" t="s">
        <x:v>8</x:v>
      </x:c>
      <x:c r="I53" s="18"/>
      <x:c r="J53" s="19"/>
      <x:c r="K53" s="24">
        <x:v>46347</x:v>
      </x:c>
      <x:c r="L53" s="25">
        <x:v>3.5</x:v>
      </x:c>
      <x:c r="M53" s="11" t="s">
        <x:v>263</x:v>
      </x:c>
      <x:c r="N53" s="11" t="s">
        <x:v>400</x:v>
      </x:c>
      <x:c r="O53" s="19"/>
      <x:c r="P53" s="10" t="s">
        <x:v>401</x:v>
      </x:c>
      <x:c r="Q53" s="22"/>
    </x:row>
    <x:row r="54" ht="104" customHeight="1">
      <x:c r="A54" s="16" t="s">
        <x:v>402</x:v>
      </x:c>
      <x:c r="B54" s="16">
        <x:v>7</x:v>
      </x:c>
      <x:c r="C54" s="8" t="s">
        <x:v>272</x:v>
      </x:c>
      <x:c r="D54" s="8" t="s">
        <x:v>403</x:v>
      </x:c>
      <x:c r="E54" s="8" t="s">
        <x:v>404</x:v>
      </x:c>
      <x:c r="F54" s="8" t="s">
        <x:v>405</x:v>
      </x:c>
      <x:c r="G54" s="8" t="s">
        <x:v>406</x:v>
      </x:c>
      <x:c r="H54" s="17" t="s">
        <x:v>8</x:v>
      </x:c>
      <x:c r="I54" s="18"/>
      <x:c r="J54" s="19"/>
      <x:c r="K54" s="20">
        <x:v>46348</x:v>
      </x:c>
      <x:c r="L54" s="21">
        <x:v>2.5</x:v>
      </x:c>
      <x:c r="M54" s="9" t="s">
        <x:v>129</x:v>
      </x:c>
      <x:c r="N54" s="9" t="s">
        <x:v>372</x:v>
      </x:c>
      <x:c r="O54" s="19"/>
      <x:c r="P54" s="8" t="s">
        <x:v>407</x:v>
      </x:c>
      <x:c r="Q54" s="22"/>
    </x:row>
    <x:row r="55" ht="116" customHeight="1">
      <x:c r="A55" s="23" t="s">
        <x:v>408</x:v>
      </x:c>
      <x:c r="B55" s="23">
        <x:v>8</x:v>
      </x:c>
      <x:c r="C55" s="10" t="s">
        <x:v>409</x:v>
      </x:c>
      <x:c r="D55" s="10" t="s">
        <x:v>410</x:v>
      </x:c>
      <x:c r="E55" s="10" t="s">
        <x:v>411</x:v>
      </x:c>
      <x:c r="F55" s="10" t="s">
        <x:v>412</x:v>
      </x:c>
      <x:c r="G55" s="10" t="s">
        <x:v>413</x:v>
      </x:c>
      <x:c r="H55" s="17" t="s">
        <x:v>8</x:v>
      </x:c>
      <x:c r="I55" s="18"/>
      <x:c r="J55" s="19"/>
      <x:c r="K55" s="24">
        <x:v>46349</x:v>
      </x:c>
      <x:c r="L55" s="25">
        <x:v>3.5</x:v>
      </x:c>
      <x:c r="M55" s="11" t="s">
        <x:v>120</x:v>
      </x:c>
      <x:c r="N55" s="11" t="s">
        <x:v>185</x:v>
      </x:c>
      <x:c r="O55" s="19"/>
      <x:c r="P55" s="10" t="s">
        <x:v>414</x:v>
      </x:c>
      <x:c r="Q55" s="22"/>
    </x:row>
    <x:row r="56" ht="104" customHeight="1">
      <x:c r="A56" s="16" t="s">
        <x:v>415</x:v>
      </x:c>
      <x:c r="B56" s="16">
        <x:v>8</x:v>
      </x:c>
      <x:c r="C56" s="8" t="s">
        <x:v>409</x:v>
      </x:c>
      <x:c r="D56" s="8" t="s">
        <x:v>416</x:v>
      </x:c>
      <x:c r="E56" s="8" t="s">
        <x:v>417</x:v>
      </x:c>
      <x:c r="F56" s="8" t="s">
        <x:v>418</x:v>
      </x:c>
      <x:c r="G56" s="8" t="s">
        <x:v>419</x:v>
      </x:c>
      <x:c r="H56" s="17" t="s">
        <x:v>8</x:v>
      </x:c>
      <x:c r="I56" s="18"/>
      <x:c r="J56" s="19"/>
      <x:c r="K56" s="20">
        <x:v>46350</x:v>
      </x:c>
      <x:c r="L56" s="21">
        <x:v>3.5</x:v>
      </x:c>
      <x:c r="M56" s="9" t="s">
        <x:v>185</x:v>
      </x:c>
      <x:c r="N56" s="9" t="s">
        <x:v>121</x:v>
      </x:c>
      <x:c r="O56" s="19"/>
      <x:c r="P56" s="8" t="s">
        <x:v>420</x:v>
      </x:c>
      <x:c r="Q56" s="22"/>
    </x:row>
    <x:row r="57" ht="104" customHeight="1">
      <x:c r="A57" s="23" t="s">
        <x:v>421</x:v>
      </x:c>
      <x:c r="B57" s="23">
        <x:v>8</x:v>
      </x:c>
      <x:c r="C57" s="10" t="s">
        <x:v>409</x:v>
      </x:c>
      <x:c r="D57" s="10" t="s">
        <x:v>422</x:v>
      </x:c>
      <x:c r="E57" s="10" t="s">
        <x:v>423</x:v>
      </x:c>
      <x:c r="F57" s="10" t="s">
        <x:v>424</x:v>
      </x:c>
      <x:c r="G57" s="10" t="s">
        <x:v>425</x:v>
      </x:c>
      <x:c r="H57" s="17" t="s">
        <x:v>8</x:v>
      </x:c>
      <x:c r="I57" s="18"/>
      <x:c r="J57" s="19"/>
      <x:c r="K57" s="24">
        <x:v>46351</x:v>
      </x:c>
      <x:c r="L57" s="25">
        <x:v>3.5</x:v>
      </x:c>
      <x:c r="M57" s="11" t="s">
        <x:v>185</x:v>
      </x:c>
      <x:c r="N57" s="11" t="s">
        <x:v>256</x:v>
      </x:c>
      <x:c r="O57" s="19"/>
      <x:c r="P57" s="10" t="s">
        <x:v>426</x:v>
      </x:c>
      <x:c r="Q57" s="22"/>
    </x:row>
    <x:row r="58" ht="104" customHeight="1">
      <x:c r="A58" s="16" t="s">
        <x:v>427</x:v>
      </x:c>
      <x:c r="B58" s="16">
        <x:v>8</x:v>
      </x:c>
      <x:c r="C58" s="8" t="s">
        <x:v>409</x:v>
      </x:c>
      <x:c r="D58" s="8" t="s">
        <x:v>428</x:v>
      </x:c>
      <x:c r="E58" s="8" t="s">
        <x:v>429</x:v>
      </x:c>
      <x:c r="F58" s="8" t="s">
        <x:v>430</x:v>
      </x:c>
      <x:c r="G58" s="8" t="s">
        <x:v>431</x:v>
      </x:c>
      <x:c r="H58" s="17" t="s">
        <x:v>8</x:v>
      </x:c>
      <x:c r="I58" s="18"/>
      <x:c r="J58" s="19"/>
      <x:c r="K58" s="20">
        <x:v>46352</x:v>
      </x:c>
      <x:c r="L58" s="21">
        <x:v>3.5</x:v>
      </x:c>
      <x:c r="M58" s="9" t="s">
        <x:v>372</x:v>
      </x:c>
      <x:c r="N58" s="9" t="s">
        <x:v>129</x:v>
      </x:c>
      <x:c r="O58" s="19"/>
      <x:c r="P58" s="8" t="s">
        <x:v>432</x:v>
      </x:c>
      <x:c r="Q58" s="22"/>
    </x:row>
    <x:row r="59" ht="116" customHeight="1">
      <x:c r="A59" s="23" t="s">
        <x:v>433</x:v>
      </x:c>
      <x:c r="B59" s="23">
        <x:v>8</x:v>
      </x:c>
      <x:c r="C59" s="10" t="s">
        <x:v>409</x:v>
      </x:c>
      <x:c r="D59" s="10" t="s">
        <x:v>434</x:v>
      </x:c>
      <x:c r="E59" s="10" t="s">
        <x:v>435</x:v>
      </x:c>
      <x:c r="F59" s="10" t="s">
        <x:v>436</x:v>
      </x:c>
      <x:c r="G59" s="10" t="s">
        <x:v>437</x:v>
      </x:c>
      <x:c r="H59" s="17" t="s">
        <x:v>8</x:v>
      </x:c>
      <x:c r="I59" s="18"/>
      <x:c r="J59" s="19"/>
      <x:c r="K59" s="24">
        <x:v>46353</x:v>
      </x:c>
      <x:c r="L59" s="25">
        <x:v>3.5</x:v>
      </x:c>
      <x:c r="M59" s="11" t="s">
        <x:v>249</x:v>
      </x:c>
      <x:c r="N59" s="11" t="s">
        <x:v>400</x:v>
      </x:c>
      <x:c r="O59" s="19"/>
      <x:c r="P59" s="10" t="s">
        <x:v>438</x:v>
      </x:c>
      <x:c r="Q59" s="22"/>
    </x:row>
    <x:row r="60" ht="116" customHeight="1">
      <x:c r="A60" s="16" t="s">
        <x:v>439</x:v>
      </x:c>
      <x:c r="B60" s="16">
        <x:v>8</x:v>
      </x:c>
      <x:c r="C60" s="8" t="s">
        <x:v>409</x:v>
      </x:c>
      <x:c r="D60" s="8" t="s">
        <x:v>440</x:v>
      </x:c>
      <x:c r="E60" s="8" t="s">
        <x:v>441</x:v>
      </x:c>
      <x:c r="F60" s="8" t="s">
        <x:v>442</x:v>
      </x:c>
      <x:c r="G60" s="8" t="s">
        <x:v>443</x:v>
      </x:c>
      <x:c r="H60" s="17" t="s">
        <x:v>8</x:v>
      </x:c>
      <x:c r="I60" s="18"/>
      <x:c r="J60" s="19"/>
      <x:c r="K60" s="20">
        <x:v>46354</x:v>
      </x:c>
      <x:c r="L60" s="21">
        <x:v>3.75</x:v>
      </x:c>
      <x:c r="M60" s="9" t="s">
        <x:v>444</x:v>
      </x:c>
      <x:c r="N60" s="9" t="s">
        <x:v>256</x:v>
      </x:c>
      <x:c r="O60" s="19"/>
      <x:c r="P60" s="8" t="s">
        <x:v>445</x:v>
      </x:c>
      <x:c r="Q60" s="22"/>
    </x:row>
    <x:row r="61" ht="104" customHeight="1">
      <x:c r="A61" s="23" t="s">
        <x:v>446</x:v>
      </x:c>
      <x:c r="B61" s="23">
        <x:v>8</x:v>
      </x:c>
      <x:c r="C61" s="10" t="s">
        <x:v>409</x:v>
      </x:c>
      <x:c r="D61" s="10" t="s">
        <x:v>447</x:v>
      </x:c>
      <x:c r="E61" s="10" t="s">
        <x:v>448</x:v>
      </x:c>
      <x:c r="F61" s="10" t="s">
        <x:v>449</x:v>
      </x:c>
      <x:c r="G61" s="10" t="s">
        <x:v>450</x:v>
      </x:c>
      <x:c r="H61" s="17" t="s">
        <x:v>8</x:v>
      </x:c>
      <x:c r="I61" s="18"/>
      <x:c r="J61" s="19"/>
      <x:c r="K61" s="24">
        <x:v>46355</x:v>
      </x:c>
      <x:c r="L61" s="25">
        <x:v>2.5</x:v>
      </x:c>
      <x:c r="M61" s="11" t="s">
        <x:v>185</x:v>
      </x:c>
      <x:c r="N61" s="11" t="s">
        <x:v>120</x:v>
      </x:c>
      <x:c r="O61" s="19"/>
      <x:c r="P61" s="10" t="s">
        <x:v>451</x:v>
      </x:c>
      <x:c r="Q61" s="22"/>
    </x:row>
    <x:row r="62" ht="133" customHeight="1">
      <x:c r="A62" s="16" t="s">
        <x:v>452</x:v>
      </x:c>
      <x:c r="B62" s="16">
        <x:v>9</x:v>
      </x:c>
      <x:c r="C62" s="8" t="s">
        <x:v>409</x:v>
      </x:c>
      <x:c r="D62" s="8" t="s">
        <x:v>453</x:v>
      </x:c>
      <x:c r="E62" s="8" t="s">
        <x:v>454</x:v>
      </x:c>
      <x:c r="F62" s="8" t="s">
        <x:v>455</x:v>
      </x:c>
      <x:c r="G62" s="8" t="s">
        <x:v>456</x:v>
      </x:c>
      <x:c r="H62" s="17" t="s">
        <x:v>8</x:v>
      </x:c>
      <x:c r="I62" s="18"/>
      <x:c r="J62" s="19"/>
      <x:c r="K62" s="20">
        <x:v>46356</x:v>
      </x:c>
      <x:c r="L62" s="21">
        <x:v>3.5</x:v>
      </x:c>
      <x:c r="M62" s="9" t="s">
        <x:v>129</x:v>
      </x:c>
      <x:c r="N62" s="9"/>
      <x:c r="O62" s="19"/>
      <x:c r="P62" s="8" t="s">
        <x:v>457</x:v>
      </x:c>
      <x:c r="Q62" s="22"/>
    </x:row>
    <x:row r="63" ht="104" customHeight="1">
      <x:c r="A63" s="23" t="s">
        <x:v>458</x:v>
      </x:c>
      <x:c r="B63" s="23">
        <x:v>9</x:v>
      </x:c>
      <x:c r="C63" s="10" t="s">
        <x:v>409</x:v>
      </x:c>
      <x:c r="D63" s="10" t="s">
        <x:v>459</x:v>
      </x:c>
      <x:c r="E63" s="10" t="s">
        <x:v>460</x:v>
      </x:c>
      <x:c r="F63" s="10" t="s">
        <x:v>461</x:v>
      </x:c>
      <x:c r="G63" s="10" t="s">
        <x:v>462</x:v>
      </x:c>
      <x:c r="H63" s="17" t="s">
        <x:v>8</x:v>
      </x:c>
      <x:c r="I63" s="18"/>
      <x:c r="J63" s="19"/>
      <x:c r="K63" s="24">
        <x:v>46357</x:v>
      </x:c>
      <x:c r="L63" s="25">
        <x:v>3.5</x:v>
      </x:c>
      <x:c r="M63" s="11" t="s">
        <x:v>463</x:v>
      </x:c>
      <x:c r="N63" s="11" t="s">
        <x:v>464</x:v>
      </x:c>
      <x:c r="O63" s="19"/>
      <x:c r="P63" s="10" t="s">
        <x:v>465</x:v>
      </x:c>
      <x:c r="Q63" s="22"/>
    </x:row>
    <x:row r="64" ht="116" customHeight="1">
      <x:c r="A64" s="16" t="s">
        <x:v>466</x:v>
      </x:c>
      <x:c r="B64" s="16">
        <x:v>9</x:v>
      </x:c>
      <x:c r="C64" s="8" t="s">
        <x:v>409</x:v>
      </x:c>
      <x:c r="D64" s="8" t="s">
        <x:v>467</x:v>
      </x:c>
      <x:c r="E64" s="8" t="s">
        <x:v>468</x:v>
      </x:c>
      <x:c r="F64" s="8" t="s">
        <x:v>469</x:v>
      </x:c>
      <x:c r="G64" s="8" t="s">
        <x:v>470</x:v>
      </x:c>
      <x:c r="H64" s="17" t="s">
        <x:v>8</x:v>
      </x:c>
      <x:c r="I64" s="18"/>
      <x:c r="J64" s="19"/>
      <x:c r="K64" s="20">
        <x:v>46358</x:v>
      </x:c>
      <x:c r="L64" s="21">
        <x:v>3.5</x:v>
      </x:c>
      <x:c r="M64" s="9" t="s">
        <x:v>120</x:v>
      </x:c>
      <x:c r="N64" s="9" t="s">
        <x:v>471</x:v>
      </x:c>
      <x:c r="O64" s="19"/>
      <x:c r="P64" s="8" t="s">
        <x:v>472</x:v>
      </x:c>
      <x:c r="Q64" s="22"/>
    </x:row>
    <x:row r="65" ht="104" customHeight="1">
      <x:c r="A65" s="23" t="s">
        <x:v>473</x:v>
      </x:c>
      <x:c r="B65" s="23">
        <x:v>9</x:v>
      </x:c>
      <x:c r="C65" s="10" t="s">
        <x:v>409</x:v>
      </x:c>
      <x:c r="D65" s="10" t="s">
        <x:v>474</x:v>
      </x:c>
      <x:c r="E65" s="10" t="s">
        <x:v>475</x:v>
      </x:c>
      <x:c r="F65" s="10" t="s">
        <x:v>476</x:v>
      </x:c>
      <x:c r="G65" s="10" t="s">
        <x:v>477</x:v>
      </x:c>
      <x:c r="H65" s="17" t="s">
        <x:v>8</x:v>
      </x:c>
      <x:c r="I65" s="18"/>
      <x:c r="J65" s="19"/>
      <x:c r="K65" s="24">
        <x:v>46359</x:v>
      </x:c>
      <x:c r="L65" s="25">
        <x:v>3.5</x:v>
      </x:c>
      <x:c r="M65" s="11" t="s">
        <x:v>471</x:v>
      </x:c>
      <x:c r="N65" s="11" t="s">
        <x:v>129</x:v>
      </x:c>
      <x:c r="O65" s="19"/>
      <x:c r="P65" s="10" t="s">
        <x:v>478</x:v>
      </x:c>
      <x:c r="Q65" s="22"/>
    </x:row>
    <x:row r="66" ht="104" customHeight="1">
      <x:c r="A66" s="16" t="s">
        <x:v>479</x:v>
      </x:c>
      <x:c r="B66" s="16">
        <x:v>9</x:v>
      </x:c>
      <x:c r="C66" s="8" t="s">
        <x:v>409</x:v>
      </x:c>
      <x:c r="D66" s="8" t="s">
        <x:v>480</x:v>
      </x:c>
      <x:c r="E66" s="8" t="s">
        <x:v>481</x:v>
      </x:c>
      <x:c r="F66" s="8" t="s">
        <x:v>482</x:v>
      </x:c>
      <x:c r="G66" s="8" t="s">
        <x:v>483</x:v>
      </x:c>
      <x:c r="H66" s="17" t="s">
        <x:v>8</x:v>
      </x:c>
      <x:c r="I66" s="18"/>
      <x:c r="J66" s="19"/>
      <x:c r="K66" s="20">
        <x:v>46360</x:v>
      </x:c>
      <x:c r="L66" s="21">
        <x:v>3.5</x:v>
      </x:c>
      <x:c r="M66" s="9" t="s">
        <x:v>484</x:v>
      </x:c>
      <x:c r="N66" s="9" t="s">
        <x:v>121</x:v>
      </x:c>
      <x:c r="O66" s="19"/>
      <x:c r="P66" s="8" t="s">
        <x:v>485</x:v>
      </x:c>
      <x:c r="Q66" s="22"/>
    </x:row>
    <x:row r="67" ht="116" customHeight="1">
      <x:c r="A67" s="23" t="s">
        <x:v>486</x:v>
      </x:c>
      <x:c r="B67" s="23">
        <x:v>9</x:v>
      </x:c>
      <x:c r="C67" s="10" t="s">
        <x:v>409</x:v>
      </x:c>
      <x:c r="D67" s="10" t="s">
        <x:v>487</x:v>
      </x:c>
      <x:c r="E67" s="10" t="s">
        <x:v>488</x:v>
      </x:c>
      <x:c r="F67" s="10" t="s">
        <x:v>489</x:v>
      </x:c>
      <x:c r="G67" s="10" t="s">
        <x:v>490</x:v>
      </x:c>
      <x:c r="H67" s="17" t="s">
        <x:v>8</x:v>
      </x:c>
      <x:c r="I67" s="18"/>
      <x:c r="J67" s="19"/>
      <x:c r="K67" s="24">
        <x:v>46361</x:v>
      </x:c>
      <x:c r="L67" s="25">
        <x:v>3.5</x:v>
      </x:c>
      <x:c r="M67" s="11" t="s">
        <x:v>491</x:v>
      </x:c>
      <x:c r="N67" s="11" t="s">
        <x:v>120</x:v>
      </x:c>
      <x:c r="O67" s="19"/>
      <x:c r="P67" s="10" t="s">
        <x:v>492</x:v>
      </x:c>
      <x:c r="Q67" s="22"/>
    </x:row>
    <x:row r="68" ht="104" customHeight="1">
      <x:c r="A68" s="16" t="s">
        <x:v>493</x:v>
      </x:c>
      <x:c r="B68" s="16">
        <x:v>9</x:v>
      </x:c>
      <x:c r="C68" s="8" t="s">
        <x:v>409</x:v>
      </x:c>
      <x:c r="D68" s="8" t="s">
        <x:v>494</x:v>
      </x:c>
      <x:c r="E68" s="8" t="s">
        <x:v>495</x:v>
      </x:c>
      <x:c r="F68" s="8" t="s">
        <x:v>496</x:v>
      </x:c>
      <x:c r="G68" s="8" t="s">
        <x:v>497</x:v>
      </x:c>
      <x:c r="H68" s="17" t="s">
        <x:v>8</x:v>
      </x:c>
      <x:c r="I68" s="18"/>
      <x:c r="J68" s="19"/>
      <x:c r="K68" s="20">
        <x:v>46362</x:v>
      </x:c>
      <x:c r="L68" s="21">
        <x:v>2.5</x:v>
      </x:c>
      <x:c r="M68" s="9" t="s">
        <x:v>471</x:v>
      </x:c>
      <x:c r="N68" s="9" t="s">
        <x:v>484</x:v>
      </x:c>
      <x:c r="O68" s="19"/>
      <x:c r="P68" s="8" t="s">
        <x:v>498</x:v>
      </x:c>
      <x:c r="Q68" s="22"/>
    </x:row>
    <x:row r="69" ht="104" customHeight="1">
      <x:c r="A69" s="23" t="s">
        <x:v>499</x:v>
      </x:c>
      <x:c r="B69" s="23">
        <x:v>10</x:v>
      </x:c>
      <x:c r="C69" s="10" t="s">
        <x:v>409</x:v>
      </x:c>
      <x:c r="D69" s="10" t="s">
        <x:v>500</x:v>
      </x:c>
      <x:c r="E69" s="10" t="s">
        <x:v>501</x:v>
      </x:c>
      <x:c r="F69" s="10" t="s">
        <x:v>502</x:v>
      </x:c>
      <x:c r="G69" s="10" t="s">
        <x:v>503</x:v>
      </x:c>
      <x:c r="H69" s="17" t="s">
        <x:v>8</x:v>
      </x:c>
      <x:c r="I69" s="18"/>
      <x:c r="J69" s="19"/>
      <x:c r="K69" s="24">
        <x:v>46363</x:v>
      </x:c>
      <x:c r="L69" s="25">
        <x:v>3.5</x:v>
      </x:c>
      <x:c r="M69" s="11" t="s">
        <x:v>471</x:v>
      </x:c>
      <x:c r="N69" s="11" t="s">
        <x:v>484</x:v>
      </x:c>
      <x:c r="O69" s="19"/>
      <x:c r="P69" s="10" t="s">
        <x:v>504</x:v>
      </x:c>
      <x:c r="Q69" s="22"/>
    </x:row>
    <x:row r="70" ht="104" customHeight="1">
      <x:c r="A70" s="16" t="s">
        <x:v>505</x:v>
      </x:c>
      <x:c r="B70" s="16">
        <x:v>10</x:v>
      </x:c>
      <x:c r="C70" s="8" t="s">
        <x:v>409</x:v>
      </x:c>
      <x:c r="D70" s="8" t="s">
        <x:v>506</x:v>
      </x:c>
      <x:c r="E70" s="8" t="s">
        <x:v>507</x:v>
      </x:c>
      <x:c r="F70" s="8" t="s">
        <x:v>508</x:v>
      </x:c>
      <x:c r="G70" s="8" t="s">
        <x:v>509</x:v>
      </x:c>
      <x:c r="H70" s="17" t="s">
        <x:v>8</x:v>
      </x:c>
      <x:c r="I70" s="18"/>
      <x:c r="J70" s="19"/>
      <x:c r="K70" s="20">
        <x:v>46364</x:v>
      </x:c>
      <x:c r="L70" s="21">
        <x:v>3.5</x:v>
      </x:c>
      <x:c r="M70" s="9" t="s">
        <x:v>129</x:v>
      </x:c>
      <x:c r="N70" s="9" t="s">
        <x:v>484</x:v>
      </x:c>
      <x:c r="O70" s="19"/>
      <x:c r="P70" s="8" t="s">
        <x:v>510</x:v>
      </x:c>
      <x:c r="Q70" s="22"/>
    </x:row>
    <x:row r="71" ht="116" customHeight="1">
      <x:c r="A71" s="23" t="s">
        <x:v>511</x:v>
      </x:c>
      <x:c r="B71" s="23">
        <x:v>10</x:v>
      </x:c>
      <x:c r="C71" s="10" t="s">
        <x:v>409</x:v>
      </x:c>
      <x:c r="D71" s="10" t="s">
        <x:v>512</x:v>
      </x:c>
      <x:c r="E71" s="10" t="s">
        <x:v>513</x:v>
      </x:c>
      <x:c r="F71" s="10" t="s">
        <x:v>514</x:v>
      </x:c>
      <x:c r="G71" s="10" t="s">
        <x:v>515</x:v>
      </x:c>
      <x:c r="H71" s="17" t="s">
        <x:v>8</x:v>
      </x:c>
      <x:c r="I71" s="18"/>
      <x:c r="J71" s="19"/>
      <x:c r="K71" s="24">
        <x:v>46365</x:v>
      </x:c>
      <x:c r="L71" s="25">
        <x:v>3.5</x:v>
      </x:c>
      <x:c r="M71" s="11" t="s">
        <x:v>471</x:v>
      </x:c>
      <x:c r="N71" s="11" t="s">
        <x:v>491</x:v>
      </x:c>
      <x:c r="O71" s="19"/>
      <x:c r="P71" s="10" t="s">
        <x:v>516</x:v>
      </x:c>
      <x:c r="Q71" s="22"/>
    </x:row>
    <x:row r="72" ht="104" customHeight="1">
      <x:c r="A72" s="16" t="s">
        <x:v>517</x:v>
      </x:c>
      <x:c r="B72" s="16">
        <x:v>10</x:v>
      </x:c>
      <x:c r="C72" s="8" t="s">
        <x:v>409</x:v>
      </x:c>
      <x:c r="D72" s="8" t="s">
        <x:v>518</x:v>
      </x:c>
      <x:c r="E72" s="8" t="s">
        <x:v>519</x:v>
      </x:c>
      <x:c r="F72" s="8" t="s">
        <x:v>520</x:v>
      </x:c>
      <x:c r="G72" s="8" t="s">
        <x:v>521</x:v>
      </x:c>
      <x:c r="H72" s="17" t="s">
        <x:v>8</x:v>
      </x:c>
      <x:c r="I72" s="18"/>
      <x:c r="J72" s="19"/>
      <x:c r="K72" s="20">
        <x:v>46366</x:v>
      </x:c>
      <x:c r="L72" s="21">
        <x:v>3.5</x:v>
      </x:c>
      <x:c r="M72" s="9" t="s">
        <x:v>121</x:v>
      </x:c>
      <x:c r="N72" s="9" t="s">
        <x:v>484</x:v>
      </x:c>
      <x:c r="O72" s="19"/>
      <x:c r="P72" s="8" t="s">
        <x:v>522</x:v>
      </x:c>
      <x:c r="Q72" s="22"/>
    </x:row>
    <x:row r="73" ht="116" customHeight="1">
      <x:c r="A73" s="23" t="s">
        <x:v>523</x:v>
      </x:c>
      <x:c r="B73" s="23">
        <x:v>10</x:v>
      </x:c>
      <x:c r="C73" s="10" t="s">
        <x:v>409</x:v>
      </x:c>
      <x:c r="D73" s="10" t="s">
        <x:v>524</x:v>
      </x:c>
      <x:c r="E73" s="10" t="s">
        <x:v>525</x:v>
      </x:c>
      <x:c r="F73" s="10" t="s">
        <x:v>526</x:v>
      </x:c>
      <x:c r="G73" s="10" t="s">
        <x:v>527</x:v>
      </x:c>
      <x:c r="H73" s="17" t="s">
        <x:v>8</x:v>
      </x:c>
      <x:c r="I73" s="18"/>
      <x:c r="J73" s="19"/>
      <x:c r="K73" s="24">
        <x:v>46367</x:v>
      </x:c>
      <x:c r="L73" s="25">
        <x:v>3.75</x:v>
      </x:c>
      <x:c r="M73" s="11" t="s">
        <x:v>263</x:v>
      </x:c>
      <x:c r="N73" s="11" t="s">
        <x:v>129</x:v>
      </x:c>
      <x:c r="O73" s="19"/>
      <x:c r="P73" s="10" t="s">
        <x:v>528</x:v>
      </x:c>
      <x:c r="Q73" s="22"/>
    </x:row>
    <x:row r="74" ht="116" customHeight="1">
      <x:c r="A74" s="16" t="s">
        <x:v>529</x:v>
      </x:c>
      <x:c r="B74" s="16">
        <x:v>10</x:v>
      </x:c>
      <x:c r="C74" s="8" t="s">
        <x:v>409</x:v>
      </x:c>
      <x:c r="D74" s="8" t="s">
        <x:v>530</x:v>
      </x:c>
      <x:c r="E74" s="8" t="s">
        <x:v>531</x:v>
      </x:c>
      <x:c r="F74" s="8" t="s">
        <x:v>532</x:v>
      </x:c>
      <x:c r="G74" s="8" t="s">
        <x:v>533</x:v>
      </x:c>
      <x:c r="H74" s="17" t="s">
        <x:v>8</x:v>
      </x:c>
      <x:c r="I74" s="18"/>
      <x:c r="J74" s="19"/>
      <x:c r="K74" s="20">
        <x:v>46368</x:v>
      </x:c>
      <x:c r="L74" s="21">
        <x:v>3.5</x:v>
      </x:c>
      <x:c r="M74" s="9" t="s">
        <x:v>185</x:v>
      </x:c>
      <x:c r="N74" s="9" t="s">
        <x:v>491</x:v>
      </x:c>
      <x:c r="O74" s="19"/>
      <x:c r="P74" s="8" t="s">
        <x:v>534</x:v>
      </x:c>
      <x:c r="Q74" s="22"/>
    </x:row>
    <x:row r="75" ht="116" customHeight="1">
      <x:c r="A75" s="23" t="s">
        <x:v>535</x:v>
      </x:c>
      <x:c r="B75" s="23">
        <x:v>10</x:v>
      </x:c>
      <x:c r="C75" s="10" t="s">
        <x:v>409</x:v>
      </x:c>
      <x:c r="D75" s="10" t="s">
        <x:v>536</x:v>
      </x:c>
      <x:c r="E75" s="10" t="s">
        <x:v>537</x:v>
      </x:c>
      <x:c r="F75" s="10" t="s">
        <x:v>538</x:v>
      </x:c>
      <x:c r="G75" s="10" t="s">
        <x:v>539</x:v>
      </x:c>
      <x:c r="H75" s="17" t="s">
        <x:v>8</x:v>
      </x:c>
      <x:c r="I75" s="18"/>
      <x:c r="J75" s="19"/>
      <x:c r="K75" s="24">
        <x:v>46369</x:v>
      </x:c>
      <x:c r="L75" s="25">
        <x:v>2.5</x:v>
      </x:c>
      <x:c r="M75" s="11" t="s">
        <x:v>129</x:v>
      </x:c>
      <x:c r="N75" s="11" t="s">
        <x:v>484</x:v>
      </x:c>
      <x:c r="O75" s="19"/>
      <x:c r="P75" s="10" t="s">
        <x:v>540</x:v>
      </x:c>
      <x:c r="Q75" s="22"/>
    </x:row>
  </x:sheetData>
  <x:conditionalFormatting sqref="H6:H75">
    <x:cfRule type="expression" dxfId="0" priority="1">
      <x:formula>$H6="未开始"</x:formula>
    </x:cfRule>
    <x:cfRule type="expression" dxfId="1" priority="2">
      <x:formula>$H6="进行中"</x:formula>
    </x:cfRule>
    <x:cfRule type="expression" dxfId="2" priority="3">
      <x:formula>$H6="已完成"</x:formula>
    </x:cfRule>
  </x:conditionalFormatting>
  <x:dataValidations count="1">
    <x:dataValidation type="list" sqref="H6:H75">
      <x:formula1>"未开始,进行中,已完成"</x:formula1>
    </x:dataValidation>
  </x:dataValidations>
  <x:hyperlinks>
    <x:hyperlink xmlns:r="http://schemas.openxmlformats.org/officeDocument/2006/relationships" ref="M6" r:id="R9396a763d8bb4211"/>
    <x:hyperlink xmlns:r="http://schemas.openxmlformats.org/officeDocument/2006/relationships" ref="N6" r:id="Raaaac5de0f834df9"/>
    <x:hyperlink xmlns:r="http://schemas.openxmlformats.org/officeDocument/2006/relationships" ref="M7" r:id="Rb54b0c1ddce045ac"/>
    <x:hyperlink xmlns:r="http://schemas.openxmlformats.org/officeDocument/2006/relationships" ref="N7" r:id="R3f6807ddb0104775"/>
    <x:hyperlink xmlns:r="http://schemas.openxmlformats.org/officeDocument/2006/relationships" ref="M8" r:id="Rfa4ea6d0356e471f"/>
    <x:hyperlink xmlns:r="http://schemas.openxmlformats.org/officeDocument/2006/relationships" ref="N8" r:id="R0227835c23994d45"/>
    <x:hyperlink xmlns:r="http://schemas.openxmlformats.org/officeDocument/2006/relationships" ref="M9" r:id="R5787e49ad8794533"/>
    <x:hyperlink xmlns:r="http://schemas.openxmlformats.org/officeDocument/2006/relationships" ref="N9" r:id="R51bf58a2a9824086"/>
    <x:hyperlink xmlns:r="http://schemas.openxmlformats.org/officeDocument/2006/relationships" ref="M10" r:id="R75da0ae08d6a432b"/>
    <x:hyperlink xmlns:r="http://schemas.openxmlformats.org/officeDocument/2006/relationships" ref="N10" r:id="R11f8661d2efe4211"/>
    <x:hyperlink xmlns:r="http://schemas.openxmlformats.org/officeDocument/2006/relationships" ref="M11" r:id="R4a55a09218c84d77"/>
    <x:hyperlink xmlns:r="http://schemas.openxmlformats.org/officeDocument/2006/relationships" ref="N11" r:id="Rf5e143736f814b61"/>
    <x:hyperlink xmlns:r="http://schemas.openxmlformats.org/officeDocument/2006/relationships" ref="M12" r:id="Rfcb57c29b6784c21"/>
    <x:hyperlink xmlns:r="http://schemas.openxmlformats.org/officeDocument/2006/relationships" ref="N12" r:id="R09fd2797d47f4c23"/>
    <x:hyperlink xmlns:r="http://schemas.openxmlformats.org/officeDocument/2006/relationships" ref="M13" r:id="R85d270f2b18f47ee"/>
    <x:hyperlink xmlns:r="http://schemas.openxmlformats.org/officeDocument/2006/relationships" ref="M14" r:id="R05398e0acae543e0"/>
    <x:hyperlink xmlns:r="http://schemas.openxmlformats.org/officeDocument/2006/relationships" ref="M15" r:id="R52d8b165a5bb4a33"/>
    <x:hyperlink xmlns:r="http://schemas.openxmlformats.org/officeDocument/2006/relationships" ref="M16" r:id="R9cc524240ef34f72"/>
    <x:hyperlink xmlns:r="http://schemas.openxmlformats.org/officeDocument/2006/relationships" ref="N16" r:id="R39232968ce5e46c8"/>
    <x:hyperlink xmlns:r="http://schemas.openxmlformats.org/officeDocument/2006/relationships" ref="M17" r:id="Rd47d18c2b2d64aee"/>
    <x:hyperlink xmlns:r="http://schemas.openxmlformats.org/officeDocument/2006/relationships" ref="N17" r:id="R514d9fe67c6a44c9"/>
    <x:hyperlink xmlns:r="http://schemas.openxmlformats.org/officeDocument/2006/relationships" ref="M18" r:id="R1ca95846cc374d30"/>
    <x:hyperlink xmlns:r="http://schemas.openxmlformats.org/officeDocument/2006/relationships" ref="N18" r:id="Rdb5e0f1d344f4978"/>
    <x:hyperlink xmlns:r="http://schemas.openxmlformats.org/officeDocument/2006/relationships" ref="M19" r:id="R514e3dd573934fd6"/>
    <x:hyperlink xmlns:r="http://schemas.openxmlformats.org/officeDocument/2006/relationships" ref="N19" r:id="R88a54668edf74756"/>
    <x:hyperlink xmlns:r="http://schemas.openxmlformats.org/officeDocument/2006/relationships" ref="M20" r:id="Rf16a92dcf0444fd7"/>
    <x:hyperlink xmlns:r="http://schemas.openxmlformats.org/officeDocument/2006/relationships" ref="N20" r:id="R6d0bb2b2924f4f87"/>
    <x:hyperlink xmlns:r="http://schemas.openxmlformats.org/officeDocument/2006/relationships" ref="M21" r:id="R9efc7739181e4f24"/>
    <x:hyperlink xmlns:r="http://schemas.openxmlformats.org/officeDocument/2006/relationships" ref="N21" r:id="R09ae11d467844607"/>
    <x:hyperlink xmlns:r="http://schemas.openxmlformats.org/officeDocument/2006/relationships" ref="M22" r:id="Ra6f327f4b4934850"/>
    <x:hyperlink xmlns:r="http://schemas.openxmlformats.org/officeDocument/2006/relationships" ref="N22" r:id="Rce2592bc72754f45"/>
    <x:hyperlink xmlns:r="http://schemas.openxmlformats.org/officeDocument/2006/relationships" ref="M23" r:id="R9796551a879048e9"/>
    <x:hyperlink xmlns:r="http://schemas.openxmlformats.org/officeDocument/2006/relationships" ref="N23" r:id="Rcf6d074c4c044f84"/>
    <x:hyperlink xmlns:r="http://schemas.openxmlformats.org/officeDocument/2006/relationships" ref="M24" r:id="R9875e1671a8f485e"/>
    <x:hyperlink xmlns:r="http://schemas.openxmlformats.org/officeDocument/2006/relationships" ref="N24" r:id="Rb241442db7584f05"/>
    <x:hyperlink xmlns:r="http://schemas.openxmlformats.org/officeDocument/2006/relationships" ref="M25" r:id="Rb9554c36e00c481f"/>
    <x:hyperlink xmlns:r="http://schemas.openxmlformats.org/officeDocument/2006/relationships" ref="N25" r:id="Rb27db3cf08924551"/>
    <x:hyperlink xmlns:r="http://schemas.openxmlformats.org/officeDocument/2006/relationships" ref="M26" r:id="R4d8429cfff314691"/>
    <x:hyperlink xmlns:r="http://schemas.openxmlformats.org/officeDocument/2006/relationships" ref="N26" r:id="R94a89dd8c4d049d3"/>
    <x:hyperlink xmlns:r="http://schemas.openxmlformats.org/officeDocument/2006/relationships" ref="M27" r:id="R648e22d4fe5343eb"/>
    <x:hyperlink xmlns:r="http://schemas.openxmlformats.org/officeDocument/2006/relationships" ref="N27" r:id="R78f182d9ab1f4e7e"/>
    <x:hyperlink xmlns:r="http://schemas.openxmlformats.org/officeDocument/2006/relationships" ref="M28" r:id="Rf28b8cfb93f843d2"/>
    <x:hyperlink xmlns:r="http://schemas.openxmlformats.org/officeDocument/2006/relationships" ref="N28" r:id="R1d03c5b946dc42f8"/>
    <x:hyperlink xmlns:r="http://schemas.openxmlformats.org/officeDocument/2006/relationships" ref="M29" r:id="Re5d1d7009e80477e"/>
    <x:hyperlink xmlns:r="http://schemas.openxmlformats.org/officeDocument/2006/relationships" ref="N29" r:id="R1b3fc0723dc7423b"/>
    <x:hyperlink xmlns:r="http://schemas.openxmlformats.org/officeDocument/2006/relationships" ref="M30" r:id="Rd47ae145b0134a6d"/>
    <x:hyperlink xmlns:r="http://schemas.openxmlformats.org/officeDocument/2006/relationships" ref="M31" r:id="Ra5f593920d344ae9"/>
    <x:hyperlink xmlns:r="http://schemas.openxmlformats.org/officeDocument/2006/relationships" ref="N31" r:id="Rccfcac3a49b447a0"/>
    <x:hyperlink xmlns:r="http://schemas.openxmlformats.org/officeDocument/2006/relationships" ref="M32" r:id="Rff0d8c8ebc4446f2"/>
    <x:hyperlink xmlns:r="http://schemas.openxmlformats.org/officeDocument/2006/relationships" ref="N32" r:id="R9fa33f0ace3742aa"/>
    <x:hyperlink xmlns:r="http://schemas.openxmlformats.org/officeDocument/2006/relationships" ref="M33" r:id="R3999166ba8ee4a8a"/>
    <x:hyperlink xmlns:r="http://schemas.openxmlformats.org/officeDocument/2006/relationships" ref="N33" r:id="R0f5879bc76044ac6"/>
    <x:hyperlink xmlns:r="http://schemas.openxmlformats.org/officeDocument/2006/relationships" ref="M34" r:id="R779c5382c92f4352"/>
    <x:hyperlink xmlns:r="http://schemas.openxmlformats.org/officeDocument/2006/relationships" ref="M35" r:id="R53b1ead233164903"/>
    <x:hyperlink xmlns:r="http://schemas.openxmlformats.org/officeDocument/2006/relationships" ref="N35" r:id="R50dc599228004e0d"/>
    <x:hyperlink xmlns:r="http://schemas.openxmlformats.org/officeDocument/2006/relationships" ref="M36" r:id="R73f438d5c35347e3"/>
    <x:hyperlink xmlns:r="http://schemas.openxmlformats.org/officeDocument/2006/relationships" ref="N36" r:id="R67160666f3234c17"/>
    <x:hyperlink xmlns:r="http://schemas.openxmlformats.org/officeDocument/2006/relationships" ref="M37" r:id="R86a6b1f9857b4b27"/>
    <x:hyperlink xmlns:r="http://schemas.openxmlformats.org/officeDocument/2006/relationships" ref="N37" r:id="Ra7b1404f68d148ab"/>
    <x:hyperlink xmlns:r="http://schemas.openxmlformats.org/officeDocument/2006/relationships" ref="M38" r:id="Ra1b86483cb0341fc"/>
    <x:hyperlink xmlns:r="http://schemas.openxmlformats.org/officeDocument/2006/relationships" ref="N38" r:id="R10f7b016dc8d468c"/>
    <x:hyperlink xmlns:r="http://schemas.openxmlformats.org/officeDocument/2006/relationships" ref="M39" r:id="Ra0f065dc82d64f7b"/>
    <x:hyperlink xmlns:r="http://schemas.openxmlformats.org/officeDocument/2006/relationships" ref="N39" r:id="Raaae1e904bcd430f"/>
    <x:hyperlink xmlns:r="http://schemas.openxmlformats.org/officeDocument/2006/relationships" ref="M40" r:id="R0b62b23d23dc4dc4"/>
    <x:hyperlink xmlns:r="http://schemas.openxmlformats.org/officeDocument/2006/relationships" ref="N40" r:id="Ra469b9e34dbc4c1e"/>
    <x:hyperlink xmlns:r="http://schemas.openxmlformats.org/officeDocument/2006/relationships" ref="M41" r:id="R3091b531310d4264"/>
    <x:hyperlink xmlns:r="http://schemas.openxmlformats.org/officeDocument/2006/relationships" ref="N41" r:id="R79e039ef16364174"/>
    <x:hyperlink xmlns:r="http://schemas.openxmlformats.org/officeDocument/2006/relationships" ref="M42" r:id="R12fe425d4c6b4a94"/>
    <x:hyperlink xmlns:r="http://schemas.openxmlformats.org/officeDocument/2006/relationships" ref="N42" r:id="R3fb8fbe6deb94be6"/>
    <x:hyperlink xmlns:r="http://schemas.openxmlformats.org/officeDocument/2006/relationships" ref="M43" r:id="R24473a6719924232"/>
    <x:hyperlink xmlns:r="http://schemas.openxmlformats.org/officeDocument/2006/relationships" ref="N43" r:id="R5cda332432b84623"/>
    <x:hyperlink xmlns:r="http://schemas.openxmlformats.org/officeDocument/2006/relationships" ref="M44" r:id="R2573a138f0814698"/>
    <x:hyperlink xmlns:r="http://schemas.openxmlformats.org/officeDocument/2006/relationships" ref="N44" r:id="R173d8f0f935c435b"/>
    <x:hyperlink xmlns:r="http://schemas.openxmlformats.org/officeDocument/2006/relationships" ref="M45" r:id="R2b9ddc05d6054f40"/>
    <x:hyperlink xmlns:r="http://schemas.openxmlformats.org/officeDocument/2006/relationships" ref="N45" r:id="R2d855840e4e943b0"/>
    <x:hyperlink xmlns:r="http://schemas.openxmlformats.org/officeDocument/2006/relationships" ref="M46" r:id="R3144b2039b464710"/>
    <x:hyperlink xmlns:r="http://schemas.openxmlformats.org/officeDocument/2006/relationships" ref="N46" r:id="Rab54b8fdf2f94672"/>
    <x:hyperlink xmlns:r="http://schemas.openxmlformats.org/officeDocument/2006/relationships" ref="M47" r:id="Rad45788eaadf4db6"/>
    <x:hyperlink xmlns:r="http://schemas.openxmlformats.org/officeDocument/2006/relationships" ref="N47" r:id="R773e673e4177445a"/>
    <x:hyperlink xmlns:r="http://schemas.openxmlformats.org/officeDocument/2006/relationships" ref="M48" r:id="R2a59bcba923243e7"/>
    <x:hyperlink xmlns:r="http://schemas.openxmlformats.org/officeDocument/2006/relationships" ref="N48" r:id="R1e5e69d76926425f"/>
    <x:hyperlink xmlns:r="http://schemas.openxmlformats.org/officeDocument/2006/relationships" ref="M49" r:id="R2ef1323aa18c4e71"/>
    <x:hyperlink xmlns:r="http://schemas.openxmlformats.org/officeDocument/2006/relationships" ref="N49" r:id="Rc1cb802ae187498e"/>
    <x:hyperlink xmlns:r="http://schemas.openxmlformats.org/officeDocument/2006/relationships" ref="M50" r:id="R6020297d5b944b46"/>
    <x:hyperlink xmlns:r="http://schemas.openxmlformats.org/officeDocument/2006/relationships" ref="N50" r:id="Rf7cef8e2553545f1"/>
    <x:hyperlink xmlns:r="http://schemas.openxmlformats.org/officeDocument/2006/relationships" ref="M51" r:id="R2fc578c9af344fd1"/>
    <x:hyperlink xmlns:r="http://schemas.openxmlformats.org/officeDocument/2006/relationships" ref="N51" r:id="R2285d332c2a34f71"/>
    <x:hyperlink xmlns:r="http://schemas.openxmlformats.org/officeDocument/2006/relationships" ref="M52" r:id="R2adb8dbfa9b04aec"/>
    <x:hyperlink xmlns:r="http://schemas.openxmlformats.org/officeDocument/2006/relationships" ref="M53" r:id="R8ce3d5d4f6e84f39"/>
    <x:hyperlink xmlns:r="http://schemas.openxmlformats.org/officeDocument/2006/relationships" ref="N53" r:id="R195e0ac47d3d4765"/>
    <x:hyperlink xmlns:r="http://schemas.openxmlformats.org/officeDocument/2006/relationships" ref="M54" r:id="R71963e631ead434b"/>
    <x:hyperlink xmlns:r="http://schemas.openxmlformats.org/officeDocument/2006/relationships" ref="N54" r:id="Rd898098e12d945f1"/>
    <x:hyperlink xmlns:r="http://schemas.openxmlformats.org/officeDocument/2006/relationships" ref="M55" r:id="R291ea743e7af4184"/>
    <x:hyperlink xmlns:r="http://schemas.openxmlformats.org/officeDocument/2006/relationships" ref="N55" r:id="R3b82702cab464a4d"/>
    <x:hyperlink xmlns:r="http://schemas.openxmlformats.org/officeDocument/2006/relationships" ref="M56" r:id="R162cf5fd8a064d1c"/>
    <x:hyperlink xmlns:r="http://schemas.openxmlformats.org/officeDocument/2006/relationships" ref="N56" r:id="Rd328f5060d464008"/>
    <x:hyperlink xmlns:r="http://schemas.openxmlformats.org/officeDocument/2006/relationships" ref="M57" r:id="R139c131c5ea640b7"/>
    <x:hyperlink xmlns:r="http://schemas.openxmlformats.org/officeDocument/2006/relationships" ref="N57" r:id="R908e777df44b4ac9"/>
    <x:hyperlink xmlns:r="http://schemas.openxmlformats.org/officeDocument/2006/relationships" ref="M58" r:id="R76ae227831df475f"/>
    <x:hyperlink xmlns:r="http://schemas.openxmlformats.org/officeDocument/2006/relationships" ref="N58" r:id="R3a2a3605ecda4f96"/>
    <x:hyperlink xmlns:r="http://schemas.openxmlformats.org/officeDocument/2006/relationships" ref="M59" r:id="Rff9196e9c09e473f"/>
    <x:hyperlink xmlns:r="http://schemas.openxmlformats.org/officeDocument/2006/relationships" ref="N59" r:id="Rfb57cce1baed44d0"/>
    <x:hyperlink xmlns:r="http://schemas.openxmlformats.org/officeDocument/2006/relationships" ref="M60" r:id="R494717313b9e44ef"/>
    <x:hyperlink xmlns:r="http://schemas.openxmlformats.org/officeDocument/2006/relationships" ref="N60" r:id="Rca1cf0c2dd6744ae"/>
    <x:hyperlink xmlns:r="http://schemas.openxmlformats.org/officeDocument/2006/relationships" ref="M61" r:id="R17db40633fcc4554"/>
    <x:hyperlink xmlns:r="http://schemas.openxmlformats.org/officeDocument/2006/relationships" ref="N61" r:id="R478484e1db6c4607"/>
    <x:hyperlink xmlns:r="http://schemas.openxmlformats.org/officeDocument/2006/relationships" ref="M62" r:id="R400b8610053e451f"/>
    <x:hyperlink xmlns:r="http://schemas.openxmlformats.org/officeDocument/2006/relationships" ref="M63" r:id="Rda70e5a78c314e68"/>
    <x:hyperlink xmlns:r="http://schemas.openxmlformats.org/officeDocument/2006/relationships" ref="N63" r:id="R1a54a42c3c364919"/>
    <x:hyperlink xmlns:r="http://schemas.openxmlformats.org/officeDocument/2006/relationships" ref="M64" r:id="R60d65e6676d74f50"/>
    <x:hyperlink xmlns:r="http://schemas.openxmlformats.org/officeDocument/2006/relationships" ref="N64" r:id="R459528deb4e24199"/>
    <x:hyperlink xmlns:r="http://schemas.openxmlformats.org/officeDocument/2006/relationships" ref="M65" r:id="R927fbfc5eb154226"/>
    <x:hyperlink xmlns:r="http://schemas.openxmlformats.org/officeDocument/2006/relationships" ref="N65" r:id="R9af0643888ff4be2"/>
    <x:hyperlink xmlns:r="http://schemas.openxmlformats.org/officeDocument/2006/relationships" ref="M66" r:id="Raa45e6f9695540bc"/>
    <x:hyperlink xmlns:r="http://schemas.openxmlformats.org/officeDocument/2006/relationships" ref="N66" r:id="R03452bb7f9e04710"/>
    <x:hyperlink xmlns:r="http://schemas.openxmlformats.org/officeDocument/2006/relationships" ref="M67" r:id="Rcf6d18782621461f"/>
    <x:hyperlink xmlns:r="http://schemas.openxmlformats.org/officeDocument/2006/relationships" ref="N67" r:id="Rdc8783bec90b4b49"/>
    <x:hyperlink xmlns:r="http://schemas.openxmlformats.org/officeDocument/2006/relationships" ref="M68" r:id="R4883ee43cbfe4a2e"/>
    <x:hyperlink xmlns:r="http://schemas.openxmlformats.org/officeDocument/2006/relationships" ref="N68" r:id="Re0a28cfe88af4057"/>
    <x:hyperlink xmlns:r="http://schemas.openxmlformats.org/officeDocument/2006/relationships" ref="M69" r:id="R20e6bc101ff342ba"/>
    <x:hyperlink xmlns:r="http://schemas.openxmlformats.org/officeDocument/2006/relationships" ref="N69" r:id="R31f622a51d0445d8"/>
    <x:hyperlink xmlns:r="http://schemas.openxmlformats.org/officeDocument/2006/relationships" ref="M70" r:id="R699e5a2c85ae4bdf"/>
    <x:hyperlink xmlns:r="http://schemas.openxmlformats.org/officeDocument/2006/relationships" ref="N70" r:id="R446b6fad1bc44172"/>
    <x:hyperlink xmlns:r="http://schemas.openxmlformats.org/officeDocument/2006/relationships" ref="M71" r:id="Rb9678fc6613b4802"/>
    <x:hyperlink xmlns:r="http://schemas.openxmlformats.org/officeDocument/2006/relationships" ref="N71" r:id="Ra69f869cd1d647b5"/>
    <x:hyperlink xmlns:r="http://schemas.openxmlformats.org/officeDocument/2006/relationships" ref="M72" r:id="R9d84a89245b445e1"/>
    <x:hyperlink xmlns:r="http://schemas.openxmlformats.org/officeDocument/2006/relationships" ref="N72" r:id="Rd27eba2ccdd7475b"/>
    <x:hyperlink xmlns:r="http://schemas.openxmlformats.org/officeDocument/2006/relationships" ref="M73" r:id="Rffa2361ad61849ad"/>
    <x:hyperlink xmlns:r="http://schemas.openxmlformats.org/officeDocument/2006/relationships" ref="N73" r:id="R1c190555e2ff40dd"/>
    <x:hyperlink xmlns:r="http://schemas.openxmlformats.org/officeDocument/2006/relationships" ref="M74" r:id="R660c9a50337d4fca"/>
    <x:hyperlink xmlns:r="http://schemas.openxmlformats.org/officeDocument/2006/relationships" ref="N74" r:id="Rc6c08f6849ec41ab"/>
    <x:hyperlink xmlns:r="http://schemas.openxmlformats.org/officeDocument/2006/relationships" ref="M75" r:id="R1fe4a6219d6a4863"/>
    <x:hyperlink xmlns:r="http://schemas.openxmlformats.org/officeDocument/2006/relationships" ref="N75" r:id="R371c5a0b5fbb4edd"/>
  </x:hyperlinks>
  <x:pageMargins left="0.7" right="0.7" top="0.75" bottom="0.75" header="0.3" footer="0.3"/>
  <x:tableParts count="1">
    <x:tablePart xmlns:r="http://schemas.openxmlformats.org/officeDocument/2006/relationships" r:id="Raa6daa0670c9430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9" defaultRowHeight="14"/>
  <x:cols>
    <x:col min="1" max="1" width="26" customWidth="1"/>
    <x:col min="2" max="2" width="38" customWidth="1"/>
    <x:col min="3" max="3" width="61" customWidth="1"/>
    <x:col min="4" max="4" width="58" customWidth="1"/>
  </x:cols>
  <x:sheetData>
    <x:row r="1" ht="16.5">
      <x:c r="A1" s="1"/>
      <x:c r="B1" s="1"/>
      <x:c r="C1" s="1"/>
      <x:c r="D1" s="1"/>
    </x:row>
    <x:row r="2" ht="32" customHeight="1">
      <x:c r="A2" s="2" t="s">
        <x:v>541</x:v>
      </x:c>
      <x:c r="B2" s="1"/>
      <x:c r="C2" s="1"/>
      <x:c r="D2" s="1"/>
    </x:row>
    <x:row r="3" ht="16.5">
      <x:c r="A3" s="3" t="s">
        <x:v>542</x:v>
      </x:c>
      <x:c r="B3" s="4"/>
      <x:c r="C3" s="4"/>
      <x:c r="D3" s="4"/>
    </x:row>
    <x:row r="4" ht="16.5">
      <x:c r="A4" s="1"/>
      <x:c r="B4" s="1"/>
      <x:c r="C4" s="1"/>
      <x:c r="D4" s="1"/>
    </x:row>
    <x:row r="5" ht="32" customHeight="1">
      <x:c r="A5" s="5" t="s">
        <x:v>543</x:v>
      </x:c>
      <x:c r="B5" s="6" t="s">
        <x:v>544</x:v>
      </x:c>
      <x:c r="C5" s="6" t="s">
        <x:v>545</x:v>
      </x:c>
      <x:c r="D5" s="7" t="s">
        <x:v>546</x:v>
      </x:c>
    </x:row>
    <x:row r="6" ht="48" customHeight="1">
      <x:c r="A6" s="8" t="s">
        <x:v>547</x:v>
      </x:c>
      <x:c r="B6" s="8" t="s">
        <x:v>81</x:v>
      </x:c>
      <x:c r="C6" s="9" t="s">
        <x:v>548</x:v>
      </x:c>
      <x:c r="D6" s="8" t="s">
        <x:v>549</x:v>
      </x:c>
    </x:row>
    <x:row r="7" ht="48" customHeight="1">
      <x:c r="A7" s="10" t="s">
        <x:v>550</x:v>
      </x:c>
      <x:c r="B7" s="10" t="s">
        <x:v>82</x:v>
      </x:c>
      <x:c r="C7" s="11" t="s">
        <x:v>551</x:v>
      </x:c>
      <x:c r="D7" s="10" t="s">
        <x:v>552</x:v>
      </x:c>
    </x:row>
    <x:row r="8" ht="48" customHeight="1">
      <x:c r="A8" s="8" t="s">
        <x:v>553</x:v>
      </x:c>
      <x:c r="B8" s="8" t="s">
        <x:v>172</x:v>
      </x:c>
      <x:c r="C8" s="9" t="s">
        <x:v>554</x:v>
      </x:c>
      <x:c r="D8" s="8" t="s">
        <x:v>555</x:v>
      </x:c>
    </x:row>
    <x:row r="9" ht="48" customHeight="1">
      <x:c r="A9" s="10" t="s">
        <x:v>556</x:v>
      </x:c>
      <x:c r="B9" s="10" t="s">
        <x:v>128</x:v>
      </x:c>
      <x:c r="C9" s="11" t="s">
        <x:v>557</x:v>
      </x:c>
      <x:c r="D9" s="10" t="s">
        <x:v>558</x:v>
      </x:c>
    </x:row>
    <x:row r="10" ht="48" customHeight="1">
      <x:c r="A10" s="8" t="s">
        <x:v>559</x:v>
      </x:c>
      <x:c r="B10" s="8" t="s">
        <x:v>560</x:v>
      </x:c>
      <x:c r="C10" s="9" t="s">
        <x:v>561</x:v>
      </x:c>
      <x:c r="D10" s="8" t="s">
        <x:v>562</x:v>
      </x:c>
    </x:row>
    <x:row r="11" ht="48" customHeight="1">
      <x:c r="A11" s="10" t="s">
        <x:v>563</x:v>
      </x:c>
      <x:c r="B11" s="10" t="s">
        <x:v>564</x:v>
      </x:c>
      <x:c r="C11" s="11" t="s">
        <x:v>565</x:v>
      </x:c>
      <x:c r="D11" s="10" t="s">
        <x:v>566</x:v>
      </x:c>
    </x:row>
    <x:row r="12" ht="48" customHeight="1">
      <x:c r="A12" s="8" t="s">
        <x:v>567</x:v>
      </x:c>
      <x:c r="B12" s="8" t="s">
        <x:v>322</x:v>
      </x:c>
      <x:c r="C12" s="9" t="s">
        <x:v>568</x:v>
      </x:c>
      <x:c r="D12" s="8" t="s">
        <x:v>569</x:v>
      </x:c>
    </x:row>
    <x:row r="13" ht="48" customHeight="1">
      <x:c r="A13" s="10" t="s">
        <x:v>570</x:v>
      </x:c>
      <x:c r="B13" s="10" t="s">
        <x:v>263</x:v>
      </x:c>
      <x:c r="C13" s="11" t="s">
        <x:v>571</x:v>
      </x:c>
      <x:c r="D13" s="10" t="s">
        <x:v>572</x:v>
      </x:c>
    </x:row>
    <x:row r="14" ht="48" customHeight="1">
      <x:c r="A14" s="8" t="s">
        <x:v>573</x:v>
      </x:c>
      <x:c r="B14" s="8" t="s">
        <x:v>371</x:v>
      </x:c>
      <x:c r="C14" s="9" t="s">
        <x:v>574</x:v>
      </x:c>
      <x:c r="D14" s="8" t="s">
        <x:v>575</x:v>
      </x:c>
    </x:row>
    <x:row r="15" ht="48" customHeight="1">
      <x:c r="A15" s="10" t="s">
        <x:v>576</x:v>
      </x:c>
      <x:c r="B15" s="10" t="s">
        <x:v>290</x:v>
      </x:c>
      <x:c r="C15" s="11" t="s">
        <x:v>577</x:v>
      </x:c>
      <x:c r="D15" s="10" t="s">
        <x:v>578</x:v>
      </x:c>
    </x:row>
    <x:row r="16" ht="48" customHeight="1">
      <x:c r="A16" s="8" t="s">
        <x:v>579</x:v>
      </x:c>
      <x:c r="B16" s="8" t="s">
        <x:v>165</x:v>
      </x:c>
      <x:c r="C16" s="9" t="s">
        <x:v>580</x:v>
      </x:c>
      <x:c r="D16" s="8" t="s">
        <x:v>581</x:v>
      </x:c>
    </x:row>
    <x:row r="17" ht="48" customHeight="1">
      <x:c r="A17" s="10" t="s">
        <x:v>582</x:v>
      </x:c>
      <x:c r="B17" s="10" t="s">
        <x:v>105</x:v>
      </x:c>
      <x:c r="C17" s="11" t="s">
        <x:v>583</x:v>
      </x:c>
      <x:c r="D17" s="10" t="s">
        <x:v>584</x:v>
      </x:c>
    </x:row>
    <x:row r="18" ht="48" customHeight="1">
      <x:c r="A18" s="8" t="s">
        <x:v>585</x:v>
      </x:c>
      <x:c r="B18" s="8" t="s">
        <x:v>106</x:v>
      </x:c>
      <x:c r="C18" s="9" t="s">
        <x:v>586</x:v>
      </x:c>
      <x:c r="D18" s="8" t="s">
        <x:v>587</x:v>
      </x:c>
    </x:row>
    <x:row r="19" ht="48" customHeight="1">
      <x:c r="A19" s="10" t="s">
        <x:v>588</x:v>
      </x:c>
      <x:c r="B19" s="10" t="s">
        <x:v>113</x:v>
      </x:c>
      <x:c r="C19" s="11" t="s">
        <x:v>589</x:v>
      </x:c>
      <x:c r="D19" s="10" t="s">
        <x:v>590</x:v>
      </x:c>
    </x:row>
    <x:row r="20" ht="48" customHeight="1">
      <x:c r="A20" s="8" t="s">
        <x:v>591</x:v>
      </x:c>
      <x:c r="B20" s="8" t="s">
        <x:v>277</x:v>
      </x:c>
      <x:c r="C20" s="9" t="s">
        <x:v>592</x:v>
      </x:c>
      <x:c r="D20" s="8" t="s">
        <x:v>593</x:v>
      </x:c>
    </x:row>
    <x:row r="21" ht="48" customHeight="1">
      <x:c r="A21" s="10" t="s">
        <x:v>594</x:v>
      </x:c>
      <x:c r="B21" s="10" t="s">
        <x:v>256</x:v>
      </x:c>
      <x:c r="C21" s="11" t="s">
        <x:v>595</x:v>
      </x:c>
      <x:c r="D21" s="10" t="s">
        <x:v>596</x:v>
      </x:c>
    </x:row>
    <x:row r="22" ht="48" customHeight="1">
      <x:c r="A22" s="8" t="s">
        <x:v>597</x:v>
      </x:c>
      <x:c r="B22" s="8" t="s">
        <x:v>137</x:v>
      </x:c>
      <x:c r="C22" s="9" t="s">
        <x:v>598</x:v>
      </x:c>
      <x:c r="D22" s="8" t="s">
        <x:v>599</x:v>
      </x:c>
    </x:row>
    <x:row r="23" ht="48" customHeight="1">
      <x:c r="A23" s="10" t="s">
        <x:v>600</x:v>
      </x:c>
      <x:c r="B23" s="10" t="s">
        <x:v>158</x:v>
      </x:c>
      <x:c r="C23" s="11" t="s">
        <x:v>601</x:v>
      </x:c>
      <x:c r="D23" s="10" t="s">
        <x:v>602</x:v>
      </x:c>
    </x:row>
    <x:row r="24" ht="48" customHeight="1">
      <x:c r="A24" s="8" t="s">
        <x:v>603</x:v>
      </x:c>
      <x:c r="B24" s="8" t="s">
        <x:v>144</x:v>
      </x:c>
      <x:c r="C24" s="9" t="s">
        <x:v>604</x:v>
      </x:c>
      <x:c r="D24" s="8" t="s">
        <x:v>605</x:v>
      </x:c>
    </x:row>
    <x:row r="25" ht="48" customHeight="1">
      <x:c r="A25" s="10" t="s">
        <x:v>606</x:v>
      </x:c>
      <x:c r="B25" s="10" t="s">
        <x:v>151</x:v>
      </x:c>
      <x:c r="C25" s="11" t="s">
        <x:v>607</x:v>
      </x:c>
      <x:c r="D25" s="10" t="s">
        <x:v>608</x:v>
      </x:c>
    </x:row>
    <x:row r="26" ht="48" customHeight="1">
      <x:c r="A26" s="8" t="s">
        <x:v>609</x:v>
      </x:c>
      <x:c r="B26" s="8" t="s">
        <x:v>121</x:v>
      </x:c>
      <x:c r="C26" s="9" t="s">
        <x:v>610</x:v>
      </x:c>
      <x:c r="D26" s="8" t="s">
        <x:v>611</x:v>
      </x:c>
    </x:row>
    <x:row r="27" ht="48" customHeight="1">
      <x:c r="A27" s="10" t="s">
        <x:v>612</x:v>
      </x:c>
      <x:c r="B27" s="10" t="s">
        <x:v>198</x:v>
      </x:c>
      <x:c r="C27" s="11" t="s">
        <x:v>613</x:v>
      </x:c>
      <x:c r="D27" s="10" t="s">
        <x:v>614</x:v>
      </x:c>
    </x:row>
    <x:row r="28" ht="48" customHeight="1">
      <x:c r="A28" s="8" t="s">
        <x:v>615</x:v>
      </x:c>
      <x:c r="B28" s="8" t="s">
        <x:v>199</x:v>
      </x:c>
      <x:c r="C28" s="9" t="s">
        <x:v>616</x:v>
      </x:c>
      <x:c r="D28" s="8" t="s">
        <x:v>617</x:v>
      </x:c>
    </x:row>
    <x:row r="29" ht="48" customHeight="1">
      <x:c r="A29" s="10" t="s">
        <x:v>618</x:v>
      </x:c>
      <x:c r="B29" s="10" t="s">
        <x:v>619</x:v>
      </x:c>
      <x:c r="C29" s="11" t="s">
        <x:v>620</x:v>
      </x:c>
      <x:c r="D29" s="10" t="s">
        <x:v>621</x:v>
      </x:c>
    </x:row>
    <x:row r="30" ht="48" customHeight="1">
      <x:c r="A30" s="8" t="s">
        <x:v>622</x:v>
      </x:c>
      <x:c r="B30" s="8" t="s">
        <x:v>212</x:v>
      </x:c>
      <x:c r="C30" s="9" t="s">
        <x:v>623</x:v>
      </x:c>
      <x:c r="D30" s="8" t="s">
        <x:v>624</x:v>
      </x:c>
    </x:row>
    <x:row r="31" ht="48" customHeight="1">
      <x:c r="A31" s="10" t="s">
        <x:v>625</x:v>
      </x:c>
      <x:c r="B31" s="10" t="s">
        <x:v>249</x:v>
      </x:c>
      <x:c r="C31" s="11" t="s">
        <x:v>626</x:v>
      </x:c>
      <x:c r="D31" s="10" t="s">
        <x:v>627</x:v>
      </x:c>
    </x:row>
    <x:row r="32" ht="48" customHeight="1">
      <x:c r="A32" s="8" t="s">
        <x:v>628</x:v>
      </x:c>
      <x:c r="B32" s="8" t="s">
        <x:v>291</x:v>
      </x:c>
      <x:c r="C32" s="9" t="s">
        <x:v>629</x:v>
      </x:c>
      <x:c r="D32" s="8" t="s">
        <x:v>630</x:v>
      </x:c>
    </x:row>
    <x:row r="33" ht="48" customHeight="1">
      <x:c r="A33" s="10" t="s">
        <x:v>631</x:v>
      </x:c>
      <x:c r="B33" s="10" t="s">
        <x:v>379</x:v>
      </x:c>
      <x:c r="C33" s="11" t="s">
        <x:v>632</x:v>
      </x:c>
      <x:c r="D33" s="10" t="s">
        <x:v>633</x:v>
      </x:c>
    </x:row>
    <x:row r="34" ht="48" customHeight="1">
      <x:c r="A34" s="8" t="s">
        <x:v>634</x:v>
      </x:c>
      <x:c r="B34" s="8" t="s">
        <x:v>380</x:v>
      </x:c>
      <x:c r="C34" s="9" t="s">
        <x:v>635</x:v>
      </x:c>
      <x:c r="D34" s="8" t="s">
        <x:v>636</x:v>
      </x:c>
    </x:row>
    <x:row r="35" ht="48" customHeight="1">
      <x:c r="A35" s="10" t="s">
        <x:v>637</x:v>
      </x:c>
      <x:c r="B35" s="10" t="s">
        <x:v>393</x:v>
      </x:c>
      <x:c r="C35" s="11" t="s">
        <x:v>638</x:v>
      </x:c>
      <x:c r="D35" s="10" t="s">
        <x:v>639</x:v>
      </x:c>
    </x:row>
    <x:row r="36" ht="61" customHeight="1">
      <x:c r="A36" s="8" t="s">
        <x:v>640</x:v>
      </x:c>
      <x:c r="B36" s="8" t="s">
        <x:v>129</x:v>
      </x:c>
      <x:c r="C36" s="9" t="s">
        <x:v>641</x:v>
      </x:c>
      <x:c r="D36" s="8" t="s">
        <x:v>642</x:v>
      </x:c>
    </x:row>
    <x:row r="37" ht="61" customHeight="1">
      <x:c r="A37" s="10" t="s">
        <x:v>643</x:v>
      </x:c>
      <x:c r="B37" s="10" t="s">
        <x:v>463</x:v>
      </x:c>
      <x:c r="C37" s="11" t="s">
        <x:v>644</x:v>
      </x:c>
      <x:c r="D37" s="10" t="s">
        <x:v>645</x:v>
      </x:c>
    </x:row>
    <x:row r="38" ht="61" customHeight="1">
      <x:c r="A38" s="8" t="s">
        <x:v>646</x:v>
      </x:c>
      <x:c r="B38" s="8" t="s">
        <x:v>464</x:v>
      </x:c>
      <x:c r="C38" s="9" t="s">
        <x:v>647</x:v>
      </x:c>
      <x:c r="D38" s="8" t="s">
        <x:v>648</x:v>
      </x:c>
    </x:row>
    <x:row r="39" ht="48" customHeight="1">
      <x:c r="A39" s="10" t="s">
        <x:v>649</x:v>
      </x:c>
      <x:c r="B39" s="10" t="s">
        <x:v>185</x:v>
      </x:c>
      <x:c r="C39" s="11" t="s">
        <x:v>650</x:v>
      </x:c>
      <x:c r="D39" s="10" t="s">
        <x:v>651</x:v>
      </x:c>
    </x:row>
    <x:row r="40" ht="48" customHeight="1">
      <x:c r="A40" s="8" t="s">
        <x:v>652</x:v>
      </x:c>
      <x:c r="B40" s="8" t="s">
        <x:v>120</x:v>
      </x:c>
      <x:c r="C40" s="9" t="s">
        <x:v>653</x:v>
      </x:c>
      <x:c r="D40" s="8" t="s">
        <x:v>654</x:v>
      </x:c>
    </x:row>
    <x:row r="41" ht="48" customHeight="1">
      <x:c r="A41" s="10" t="s">
        <x:v>655</x:v>
      </x:c>
      <x:c r="B41" s="10" t="s">
        <x:v>444</x:v>
      </x:c>
      <x:c r="C41" s="11" t="s">
        <x:v>656</x:v>
      </x:c>
      <x:c r="D41" s="10" t="s">
        <x:v>657</x:v>
      </x:c>
    </x:row>
    <x:row r="42" ht="48" customHeight="1">
      <x:c r="A42" s="8" t="s">
        <x:v>658</x:v>
      </x:c>
      <x:c r="B42" s="8" t="s">
        <x:v>400</x:v>
      </x:c>
      <x:c r="C42" s="9" t="s">
        <x:v>659</x:v>
      </x:c>
      <x:c r="D42" s="8" t="s">
        <x:v>660</x:v>
      </x:c>
    </x:row>
    <x:row r="43" ht="48" customHeight="1">
      <x:c r="A43" s="10" t="s">
        <x:v>661</x:v>
      </x:c>
      <x:c r="B43" s="10" t="s">
        <x:v>372</x:v>
      </x:c>
      <x:c r="C43" s="11" t="s">
        <x:v>662</x:v>
      </x:c>
      <x:c r="D43" s="10" t="s">
        <x:v>663</x:v>
      </x:c>
    </x:row>
    <x:row r="44" ht="48" customHeight="1">
      <x:c r="A44" s="8" t="s">
        <x:v>664</x:v>
      </x:c>
      <x:c r="B44" s="8" t="s">
        <x:v>491</x:v>
      </x:c>
      <x:c r="C44" s="9" t="s">
        <x:v>665</x:v>
      </x:c>
      <x:c r="D44" s="8" t="s">
        <x:v>666</x:v>
      </x:c>
    </x:row>
    <x:row r="45" ht="48" customHeight="1">
      <x:c r="A45" s="10" t="s">
        <x:v>667</x:v>
      </x:c>
      <x:c r="B45" s="10" t="s">
        <x:v>471</x:v>
      </x:c>
      <x:c r="C45" s="11" t="s">
        <x:v>668</x:v>
      </x:c>
      <x:c r="D45" s="10" t="s">
        <x:v>669</x:v>
      </x:c>
    </x:row>
    <x:row r="46" ht="48" customHeight="1">
      <x:c r="A46" s="8" t="s">
        <x:v>670</x:v>
      </x:c>
      <x:c r="B46" s="8" t="s">
        <x:v>484</x:v>
      </x:c>
      <x:c r="C46" s="9" t="s">
        <x:v>671</x:v>
      </x:c>
      <x:c r="D46" s="8" t="s">
        <x:v>672</x:v>
      </x:c>
    </x:row>
    <x:row r="47" ht="85" customHeight="1">
      <x:c r="A47" s="12" t="s">
        <x:v>673</x:v>
      </x:c>
      <x:c r="B47" s="12" t="s">
        <x:v>91</x:v>
      </x:c>
      <x:c r="C47" s="13" t="s">
        <x:v>674</x:v>
      </x:c>
      <x:c r="D47" s="12" t="s">
        <x:v>675</x:v>
      </x:c>
    </x:row>
    <x:row r="48" ht="85" customHeight="1">
      <x:c r="A48" s="14" t="s">
        <x:v>676</x:v>
      </x:c>
      <x:c r="B48" s="14" t="s">
        <x:v>92</x:v>
      </x:c>
      <x:c r="C48" s="15" t="s">
        <x:v>677</x:v>
      </x:c>
      <x:c r="D48" s="14" t="s">
        <x:v>678</x:v>
      </x:c>
    </x:row>
  </x:sheetData>
  <x:hyperlinks>
    <x:hyperlink xmlns:r="http://schemas.openxmlformats.org/officeDocument/2006/relationships" ref="C6" r:id="Rb2e9dced2100409d"/>
    <x:hyperlink xmlns:r="http://schemas.openxmlformats.org/officeDocument/2006/relationships" ref="C7" r:id="Rc99d067a436143e0"/>
    <x:hyperlink xmlns:r="http://schemas.openxmlformats.org/officeDocument/2006/relationships" ref="C8" r:id="R9bffbe35e61b4d1f"/>
    <x:hyperlink xmlns:r="http://schemas.openxmlformats.org/officeDocument/2006/relationships" ref="C9" r:id="Re94df286ce1b4309"/>
    <x:hyperlink xmlns:r="http://schemas.openxmlformats.org/officeDocument/2006/relationships" ref="C10" r:id="R68e3a2ff7abe498d"/>
    <x:hyperlink xmlns:r="http://schemas.openxmlformats.org/officeDocument/2006/relationships" ref="C11" r:id="Rdb1297f5e7f94837"/>
    <x:hyperlink xmlns:r="http://schemas.openxmlformats.org/officeDocument/2006/relationships" ref="C12" r:id="R6805a6d25c9d448d"/>
    <x:hyperlink xmlns:r="http://schemas.openxmlformats.org/officeDocument/2006/relationships" ref="C13" r:id="Rd05da4ed69b949c7"/>
    <x:hyperlink xmlns:r="http://schemas.openxmlformats.org/officeDocument/2006/relationships" ref="C14" r:id="R3916bb8f427e46e6"/>
    <x:hyperlink xmlns:r="http://schemas.openxmlformats.org/officeDocument/2006/relationships" ref="C15" r:id="Rd96348b7dcf14726"/>
    <x:hyperlink xmlns:r="http://schemas.openxmlformats.org/officeDocument/2006/relationships" ref="C16" r:id="R222801da15b44d08"/>
    <x:hyperlink xmlns:r="http://schemas.openxmlformats.org/officeDocument/2006/relationships" ref="C17" r:id="Rf11f75e093e44c0f"/>
    <x:hyperlink xmlns:r="http://schemas.openxmlformats.org/officeDocument/2006/relationships" ref="C18" r:id="Rc285aa1769e84d23"/>
    <x:hyperlink xmlns:r="http://schemas.openxmlformats.org/officeDocument/2006/relationships" ref="C19" r:id="R0a2482aa24484d6b"/>
    <x:hyperlink xmlns:r="http://schemas.openxmlformats.org/officeDocument/2006/relationships" ref="C20" r:id="Re0a1e83422164b7f"/>
    <x:hyperlink xmlns:r="http://schemas.openxmlformats.org/officeDocument/2006/relationships" ref="C21" r:id="Rb6ac78c132f94528"/>
    <x:hyperlink xmlns:r="http://schemas.openxmlformats.org/officeDocument/2006/relationships" ref="C22" r:id="Raf60fd2be469491c"/>
    <x:hyperlink xmlns:r="http://schemas.openxmlformats.org/officeDocument/2006/relationships" ref="C23" r:id="R86f6011f3471409a"/>
    <x:hyperlink xmlns:r="http://schemas.openxmlformats.org/officeDocument/2006/relationships" ref="C24" r:id="Rc045dfa479b74794"/>
    <x:hyperlink xmlns:r="http://schemas.openxmlformats.org/officeDocument/2006/relationships" ref="C25" r:id="R273d220cd7614b9b"/>
    <x:hyperlink xmlns:r="http://schemas.openxmlformats.org/officeDocument/2006/relationships" ref="C26" r:id="R12480cd09a4c42fd"/>
    <x:hyperlink xmlns:r="http://schemas.openxmlformats.org/officeDocument/2006/relationships" ref="C27" r:id="Refddc30035c547b1"/>
    <x:hyperlink xmlns:r="http://schemas.openxmlformats.org/officeDocument/2006/relationships" ref="C28" r:id="R14446c5d427c4dc3"/>
    <x:hyperlink xmlns:r="http://schemas.openxmlformats.org/officeDocument/2006/relationships" ref="C29" r:id="R99877480c0e546be"/>
    <x:hyperlink xmlns:r="http://schemas.openxmlformats.org/officeDocument/2006/relationships" ref="C30" r:id="Rcf2735c8e377407d"/>
    <x:hyperlink xmlns:r="http://schemas.openxmlformats.org/officeDocument/2006/relationships" ref="C31" r:id="R5798414daf0f4a57"/>
    <x:hyperlink xmlns:r="http://schemas.openxmlformats.org/officeDocument/2006/relationships" ref="C32" r:id="Ra03746c70fb54b06"/>
    <x:hyperlink xmlns:r="http://schemas.openxmlformats.org/officeDocument/2006/relationships" ref="C33" r:id="R2fdc1138fbd24a50"/>
    <x:hyperlink xmlns:r="http://schemas.openxmlformats.org/officeDocument/2006/relationships" ref="C34" r:id="R3dad4d17eac949db"/>
    <x:hyperlink xmlns:r="http://schemas.openxmlformats.org/officeDocument/2006/relationships" ref="C35" r:id="R8bea400fffd44925"/>
    <x:hyperlink xmlns:r="http://schemas.openxmlformats.org/officeDocument/2006/relationships" ref="C36" r:id="R35cc60f8b16445db"/>
    <x:hyperlink xmlns:r="http://schemas.openxmlformats.org/officeDocument/2006/relationships" ref="C37" r:id="R41d6ab6c20bc4e2f"/>
    <x:hyperlink xmlns:r="http://schemas.openxmlformats.org/officeDocument/2006/relationships" ref="C38" r:id="Rb71024a5f91f49f9"/>
    <x:hyperlink xmlns:r="http://schemas.openxmlformats.org/officeDocument/2006/relationships" ref="C39" r:id="Rc1cd6d48fc154bd5"/>
    <x:hyperlink xmlns:r="http://schemas.openxmlformats.org/officeDocument/2006/relationships" ref="C40" r:id="R8049bbf49e304270"/>
    <x:hyperlink xmlns:r="http://schemas.openxmlformats.org/officeDocument/2006/relationships" ref="C41" r:id="Rc0b6d99890a344ad"/>
    <x:hyperlink xmlns:r="http://schemas.openxmlformats.org/officeDocument/2006/relationships" ref="C42" r:id="R9cacb0d355f2444c"/>
    <x:hyperlink xmlns:r="http://schemas.openxmlformats.org/officeDocument/2006/relationships" ref="C43" r:id="R8bbc62e4d5ec4f28"/>
    <x:hyperlink xmlns:r="http://schemas.openxmlformats.org/officeDocument/2006/relationships" ref="C44" r:id="Rd0b097924f904ba1"/>
    <x:hyperlink xmlns:r="http://schemas.openxmlformats.org/officeDocument/2006/relationships" ref="C45" r:id="R538a7c9c3c0040fa"/>
    <x:hyperlink xmlns:r="http://schemas.openxmlformats.org/officeDocument/2006/relationships" ref="C46" r:id="R4e7554a4500a4768"/>
    <x:hyperlink xmlns:r="http://schemas.openxmlformats.org/officeDocument/2006/relationships" ref="C47" r:id="Rfc11e0c7c2aa4c55"/>
    <x:hyperlink xmlns:r="http://schemas.openxmlformats.org/officeDocument/2006/relationships" ref="C48" r:id="Re217cefebf26408a"/>
  </x:hyperlinks>
  <x:pageMargins left="0.7" right="0.7" top="0.75" bottom="0.75" header="0.3" footer="0.3"/>
  <x:tableParts count="1">
    <x:tablePart xmlns:r="http://schemas.openxmlformats.org/officeDocument/2006/relationships" r:id="R149fa86851e74097"/>
  </x:tableParts>
</x:worksheet>
</file>