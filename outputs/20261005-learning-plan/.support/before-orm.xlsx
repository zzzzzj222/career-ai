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VSProject\career-ai\outputs\20261005-learning-plan\"/>
    </mc:Choice>
  </mc:AlternateContent>
  <bookViews>
    <workbookView windowHeight="17680" activeTab="1"/>
  </bookViews>
  <sheets>
    <sheet name="进度总览" sheetId="1" r:id="rId1"/>
    <sheet name="每日清单" sheetId="2" r:id="rId2"/>
    <sheet name="学习资料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<sst xmlns="http://schemas.openxmlformats.org/spreadsheetml/2006/main" count="1094" uniqueCount="672">
  <si>
    <t>AI 解决方案工程师学习进度</t>
  </si>
  <si>
    <t>70 天，10 周。2026-10-06 开始，每晚 22:30（北京时间）跟进。</t>
  </si>
  <si>
    <t>每日约 3–4 小时；每周第 7 天复盘缓冲约 2.5 小时</t>
  </si>
  <si>
    <t>计划天数</t>
  </si>
  <si>
    <t>已完成</t>
  </si>
  <si>
    <t>进行中</t>
  </si>
  <si>
    <t>完成率</t>
  </si>
  <si>
    <t>计划小时</t>
  </si>
  <si>
    <t>实际小时</t>
  </si>
  <si>
    <t>未开始</t>
  </si>
  <si>
    <t>计划结束日期</t>
  </si>
  <si>
    <t>统计范围</t>
  </si>
  <si>
    <t>完成率只统计本次 70 日计划，不代表已有技能归零。</t>
  </si>
  <si>
    <t>验收口径</t>
  </si>
  <si>
    <t>自报完成后，须提供运行结果并独立解释关键代码；验收通过才标记“已完成”。</t>
  </si>
  <si>
    <t>周次</t>
  </si>
  <si>
    <t>本周重点</t>
  </si>
  <si>
    <t>周验收目标</t>
  </si>
  <si>
    <t>原计划</t>
  </si>
  <si>
    <t>补齐已有项目的可验收交付</t>
  </si>
  <si>
    <t>已有 API 通过真实 HTTP 正常/错误路径；原数据保留；清洗可重复；LLM 调用有错误处理。</t>
  </si>
  <si>
    <t>Day01–14</t>
  </si>
  <si>
    <t>做出带来源的最小 RAG</t>
  </si>
  <si>
    <t>10 道固定题中 8 道可回答题至少 6 道命中来源；2 道无答案题均明确拒答；重启后索引可用。</t>
  </si>
  <si>
    <t>Day15–21</t>
  </si>
  <si>
    <t>完成业务知识库 MVP</t>
  </si>
  <si>
    <t>一类业务、20–30 份小文档、可操作页面与引用；形成 30 题固定评测集并封存 10 题。</t>
  </si>
  <si>
    <t>Day22–28</t>
  </si>
  <si>
    <t>评测、修复并验收项目一</t>
  </si>
  <si>
    <t>按P19逐题口径：20道有答案题Hit@5至少16/20，引用正确至少17/20；10道无答案题拒答至少8/10；独立10题首次成绩与配置单列。</t>
  </si>
  <si>
    <t>Day29–35</t>
  </si>
  <si>
    <t>构建安全的只读工具链</t>
  </si>
  <si>
    <t>工具选择和参数可追溯；只读查询、行数/耗时限制生效；至少 6 个危险调用被阻止。</t>
  </si>
  <si>
    <t>Day36–42</t>
  </si>
  <si>
    <t>完成 Business Analyst 项目二</t>
  </si>
  <si>
    <t>12题开发/回归至少10题通过，4题独立至少3题通过且缺数据不编造；危险请求全部受限；能独立演示并核对数据。</t>
  </si>
  <si>
    <t>Day43–49</t>
  </si>
  <si>
    <t>将两个 Demo 做成可复现交付</t>
  </si>
  <si>
    <t>两项目在独立环境按 README 启动并通过真实 HTTP 检查；离线 CI 通过；具备部署、日志与恢复记录。</t>
  </si>
  <si>
    <t>Day50–56</t>
  </si>
  <si>
    <t>形成第三项目：企业实施方案</t>
  </si>
  <si>
    <t>完成 10–15 页方案：需求、架构、选型、数据、安全、实施、验收、风险和带假设的成本/ROI。</t>
  </si>
  <si>
    <t>Day57–70</t>
  </si>
  <si>
    <t>准备作品集、简历与面试证据</t>
  </si>
  <si>
    <t>两 Demo 和方案有统一作品集入口；两版简历、8 条岗位样本、2 次模拟面试及修订记录。</t>
  </si>
  <si>
    <t>Day71–77</t>
  </si>
  <si>
    <t>开展投递反馈并完成最终验收</t>
  </si>
  <si>
    <t>本人完成至少 6 次匹配投递或记录客观阻碍；两 Demo 可复现，方案可讲解，形成下一轮调整清单。</t>
  </si>
  <si>
    <t>Day78–84</t>
  </si>
  <si>
    <t>最终交付</t>
  </si>
  <si>
    <t>交付 1</t>
  </si>
  <si>
    <t>企业知识库问答：可复现运行，回答可追溯引用，无资料时拒答，并附固定评测报告。</t>
  </si>
  <si>
    <t>交付 2</t>
  </si>
  <si>
    <t>业务数据分析助手：只读查询，结果可核对，图表与解释一致，出错时给出明确反馈。</t>
  </si>
  <si>
    <t>交付 3</t>
  </si>
  <si>
    <t>企业 AI 解决方案：10–15 页，覆盖需求、架构、选型、实施、成本 ROI、风险、验收和运维。</t>
  </si>
  <si>
    <t>填写方法</t>
  </si>
  <si>
    <t>每天填写状态、实际小时、证据与卡点；证据可用代码位置、运行输出或演示链接。</t>
  </si>
  <si>
    <t>“未开始 / 进行中 / 已完成”为唯一状态。未过验收就继续补缺，并顺延后续学习。</t>
  </si>
  <si>
    <t>黄色单元格可编辑。资料链接可点击，首列和表头已冻结，可按周次或状态筛选。</t>
  </si>
  <si>
    <t>每日跟进结合仓库变化和你的反馈调整任务，静态 Excel 不会自行改写学习安排。</t>
  </si>
  <si>
    <t>每日学习清单</t>
  </si>
  <si>
    <t>每晚 22:30（北京时间）跟进。淡黄色格可填写；验收通过后再选“已完成”。</t>
  </si>
  <si>
    <t>Day</t>
  </si>
  <si>
    <t>阶段</t>
  </si>
  <si>
    <t>学习主题</t>
  </si>
  <si>
    <t>今日任务</t>
  </si>
  <si>
    <t>今日产出</t>
  </si>
  <si>
    <t>验收标准</t>
  </si>
  <si>
    <t>完成状态</t>
  </si>
  <si>
    <t>完成日期</t>
  </si>
  <si>
    <t>备注</t>
  </si>
  <si>
    <t>计划日期</t>
  </si>
  <si>
    <t>资料 1</t>
  </si>
  <si>
    <t>资料 2</t>
  </si>
  <si>
    <t>证据</t>
  </si>
  <si>
    <t>原计划映射</t>
  </si>
  <si>
    <t>P01</t>
  </si>
  <si>
    <t>阶段一：补缺与 RAG 项目</t>
  </si>
  <si>
    <t>验收现有 FastAPI</t>
  </si>
  <si>
    <t>目标：确认现有接口真实可用，并留下可重复执行的证据。
1）按 week02/day11 的现有说明启动服务，记录环境和命令。
2）实测健康检查、查询、创建、错误请求，并记下当前缺口。
3）独立给商品增加可选 category 字段，不照抄完整答案，保持原请求兼容。</t>
  </si>
  <si>
    <t>reports/P01-api-baseline.md、HTTP 请求样例与独立 category 字段改动</t>
  </si>
  <si>
    <t>1）GET /health 返回 200；/docs 能打开。
2）至少 6 次 HTTP 请求覆盖读取、创建、无效参数和不存在资源，并记录响应。
3）分别创建带/不带 category 的商品，两者均成功；查询能看到对应分类或默认空值。
4）区分已经通过、未通过、尚未验证，写出不超过 3 个优先缺口。</t>
  </si>
  <si>
    <t/>
  </si>
  <si>
    <t>FastAPI：第一步与接口文档</t>
  </si>
  <si>
    <t>FastAPI：请求体</t>
  </si>
  <si>
    <t>原 Day13–14：只补运行验收，不重做基础。</t>
  </si>
  <si>
    <t>P02</t>
  </si>
  <si>
    <t>数据清洗可复现</t>
  </si>
  <si>
    <t>目标：将现有电影数据处理变成不覆盖原始文件的可复现流程。
1）复用已有 Pandas 处理逻辑，把输入、输出路径和清洗规则写明确。
2）对缺失值、重复值和类型转换记录前后数量，再连续运行两次。</t>
  </si>
  <si>
    <t>可执行清洗脚本、独立输出数据与 reports/P02-cleaning.md</t>
  </si>
  <si>
    <t>1）原 CSV 的内容哈希在运行前后相同，清洗结果写入新路径。
2）两次运行输出行数与核心汇总一致，记录清洗前后行数及各类异常数。
3）从项目根目录按说明可运行，不依赖个人绝对路径。</t>
  </si>
  <si>
    <t>pandas：缺失数据</t>
  </si>
  <si>
    <t>pandas：文件读写</t>
  </si>
  <si>
    <t>原 Day11：补可复现与原数据保护；基础操作已具备。</t>
  </si>
  <si>
    <t>P03</t>
  </si>
  <si>
    <t>数据分析 API</t>
  </si>
  <si>
    <t>目标：让已有分析逻辑通过受校验的接口返回业务结果。
1）为清洗结果增加一个 /analyze 接口，输入筛选条件，输出样本量和 2 个指标。
2）准备小样本手算基准，实测有效、无结果与非法输入。</t>
  </si>
  <si>
    <t>数据分析接口、3 组 HTTP 验收记录</t>
  </si>
  <si>
    <t>1）1 组正常请求的样本量和 2 个指标与手算基准一致。
2）空结果返回约定的业务响应；非法参数返回 4xx 而非 500。
3）/docs 能说明输入字段、单位和输出指标口径。</t>
  </si>
  <si>
    <t>FastAPI：处理错误</t>
  </si>
  <si>
    <t>原 Day12–13：合并业务口径与 API 交付。</t>
  </si>
  <si>
    <t>P04</t>
  </si>
  <si>
    <t>LLM 调用的失败处理</t>
  </si>
  <si>
    <t>目标：将现有 DeepSeek 流式代码补到可诊断、可结束的状态。
1）沿用现有模型和配置，封装流式读取，处理空增量与正常结束。
2）配置超时和有限重试，用可控模拟覆盖限流、超时及认证失败。</t>
  </si>
  <si>
    <t>可复用 LLM 调用模块与 reports/P04-llm-errors.md</t>
  </si>
  <si>
    <t>1）至少 1 次真实调用完整结束，输出非空；不在记录中放密钥。
2）超时/限流最多重试 2 次；认证失败直接报错，不无限等待。
3）3 类故障记录含错误类别和处理结果；无真实凭据时明确标记待真实验证。</t>
  </si>
  <si>
    <t>DeepSeek：流式输出</t>
  </si>
  <si>
    <t>DeepSeek：错误码</t>
  </si>
  <si>
    <t>原 Day05–07 的工程补缺；保留现有 DeepSeek 路线。</t>
  </si>
  <si>
    <t>P05</t>
  </si>
  <si>
    <t>结构化业务输出</t>
  </si>
  <si>
    <t>目标：让模型结果能被程序校验，并对异常输出给出可理解的提示。
1）定义包含结论、依据和限制的简单 JSON 输出结构。
2）在现有调用上加结构校验，并准备错误 JSON、缺字段和空输出样例。</t>
  </si>
  <si>
    <t>结构化输出示例与 5 条校验记录</t>
  </si>
  <si>
    <t>1）2 个正常例子能通过结构校验，并显示结论与依据。
2）3 个异常例子均被识别，不把原始异常堆栈直接展示给使用者。
3）缺少数据依据时输出限制说明，不编造数字。</t>
  </si>
  <si>
    <t>DeepSeek：JSON Output</t>
  </si>
  <si>
    <t>原基础阶段补缺：为 RAG 和 Agent 准备可校验输出。</t>
  </si>
  <si>
    <t>P06</t>
  </si>
  <si>
    <t>目标岗位与项目问题</t>
  </si>
  <si>
    <t>目标：用真实岗位需求确定两项目的业务边界。
1）收集 6–8 条可申请的 AI 实施/解决方案/应用工程岗位，保存链接和日期。
2）归纳高频能力，选定知识库业务场景与分析业务场景，各写一页范围说明。</t>
  </si>
  <si>
    <t>reports/job-sample-v1.md 与两个项目的一页需求</t>
  </si>
  <si>
    <t>1）至少 6 条岗位记录含职责、硬性条件、地点/工作形式与原链接。
2）两项目各写清使用者、问题、输入输出和 3 条验收要求。
3）将高频要求标成已有证据/待补缺；不把高级岗位年限要求当作本轮必达。</t>
  </si>
  <si>
    <t>Microsoft Learn：解决方案架构师职业路径</t>
  </si>
  <si>
    <t>Microsoft Learn：RAG 概述</t>
  </si>
  <si>
    <t>原 Day01 目标确认补充；提前引入原 Day71 的岗位匹配。</t>
  </si>
  <si>
    <t>P07</t>
  </si>
  <si>
    <t>第一周复盘与缓冲</t>
  </si>
  <si>
    <t>目标：确认基础缺口已补齐，再进入 RAG。
1）重跑本周关键 HTTP、清洗和 LLM 验收，整理证据链接。
2）只修复最高优先级缺口；为下一周保留或调整任务量。</t>
  </si>
  <si>
    <t>reports/W01-review.md 与下一周调整记录</t>
  </si>
  <si>
    <t>1）逐项给出周关口通过/未通过/未验证，均有证据。
2）能用 5 分钟解释数据来源、接口口径和 1 个失败处理。
3）未达关口时插入S编号补练，顺延下一P及后续日期，保留原任务并记录原因，不叠加任务。</t>
  </si>
  <si>
    <t>FastAPI：测试</t>
  </si>
  <si>
    <t>GitHub Docs：关于 README</t>
  </si>
  <si>
    <t>原 Day14 复盘；本日不新增理论。</t>
  </si>
  <si>
    <t>P08</t>
  </si>
  <si>
    <t>中文文本向量</t>
  </si>
  <si>
    <t>目标：用少量业务文本验证相似度能表达语义关联。
1）选择一个明确支持中文的轻量 Embedding 模型，在 CPU 上编码 10 条业务句子。 使用独立、受相关依赖支持的Python环境，先核对兼容版本；保留已有.venv。
2）比较 3 个近义查询和 2 个无关查询的排序，记录模型版本。</t>
  </si>
  <si>
    <t>Embedding 小实验与 reports/P08-similarity.md</t>
  </si>
  <si>
    <t>1）10 条文本均生成相同维数的向量，无空值。
2）至少 3 个近义查询的相关文本进入前 3，失败样例被保留。
3）记录模型名、维数、首次加载耗时与运行命令。</t>
  </si>
  <si>
    <t>预计时长包含排错。安装/下载排错累计超过60分钟，就插入环境补课并顺延；保留现有环境，禁止把任务叠到同一天。</t>
  </si>
  <si>
    <t>Sentence Transformers：语义相似度</t>
  </si>
  <si>
    <t>原 Day15：Embedding；不训练模型。</t>
  </si>
  <si>
    <t>P09</t>
  </si>
  <si>
    <t>带来源的文档分块</t>
  </si>
  <si>
    <t>目标：将业务文档切成能追溯出处的检索单位。
1）选 5 份公开或脱敏的短文档，保留标题、版本和来源。
2）实现一种按标题/长度的分块方式，记录块 ID、文档 ID 和位置。</t>
  </si>
  <si>
    <t>5 份样本文档、分块脚本与 chunks.jsonl</t>
  </si>
  <si>
    <t>1）每块都有唯一 ID、原文和来源定位字段。
2）人工抽查 10 个块能回到原文，关键段落没有被遗漏。
3）记录分块长度和重叠参数，以及 2 个跨段问题。</t>
  </si>
  <si>
    <t>Microsoft Learn：RAG 文档分块</t>
  </si>
  <si>
    <t>原 Day16：文本处理与分块。</t>
  </si>
  <si>
    <t>P10</t>
  </si>
  <si>
    <t>持久化向量索引</t>
  </si>
  <si>
    <t>目标：将文档向量存入可重启使用的本地索引。
1）用 Chroma 保存分块文本、向量和来源元数据。
2）实现按稳定 ID 写入和更新，重启后重新查询。</t>
  </si>
  <si>
    <t>索引构建命令、持久化目录与索引统计</t>
  </si>
  <si>
    <t>1）索引条目数与有效块数一致。
2）同一批文档重复导入不增加重复条目。
3）重启进程后能查询同一索引，并取回来源字段。</t>
  </si>
  <si>
    <t>Chroma：快速开始</t>
  </si>
  <si>
    <t>原 Day17：向量库与索引。</t>
  </si>
  <si>
    <t>P11</t>
  </si>
  <si>
    <t>检索及命中检查</t>
  </si>
  <si>
    <t>目标：让业务问题返回可检查的 top-k 证据。
1）实现检索接口或命令，返回 top-5 文本、分数与来源。
2）写 8 道可回答题和 2 道无答案题，并手工标注预期文档。</t>
  </si>
  <si>
    <t>检索程序与 10 题最小检索集</t>
  </si>
  <si>
    <t>1）8 道可回答题至少 6 道在 top-5 中命中预期文档。
2）每个结果都显示块 ID、来源和分数，不只打印答案。
3）保留全部失败题及初步原因，不删除难题美化结果。</t>
  </si>
  <si>
    <t>Sentence Transformers：语义检索</t>
  </si>
  <si>
    <t>原 Day18：相似度检索与检索评估起步。</t>
  </si>
  <si>
    <t>P12</t>
  </si>
  <si>
    <t>最小 RAG 回答</t>
  </si>
  <si>
    <t>目标：让模型仅凭检索证据回答，并给出来源。
1）把检索结果编号后作为上下文，接入现有 DeepSeek 调用。
2）要求回答附来源编号；上下文不足时说明无法确认。</t>
  </si>
  <si>
    <t>可运行的问答命令与 5 条带引用示例</t>
  </si>
  <si>
    <t>1）5 道样例题都展示回答及可展开/查看的原文片段。
2）引用编号只能来自本次检索结果，不接受不存在的来源。
3）至少 1 道无答案题明确说明知识库缺少依据。</t>
  </si>
  <si>
    <t>DeepSeek：首次调用</t>
  </si>
  <si>
    <t>原 Day19：检索增强生成最小闭环。</t>
  </si>
  <si>
    <t>P13</t>
  </si>
  <si>
    <t>RAG API 与来源结构</t>
  </si>
  <si>
    <t>目标：把最小 RAG 封装成可供页面调用的接口。
1）增加 /ask 接口，返回 answer、sources 和基本耗时。
2）校验空问题、超长问题以及索引不存在的响应。</t>
  </si>
  <si>
    <t>RAG API 与 4 组真实 HTTP 记录</t>
  </si>
  <si>
    <t>1）正常请求返回回答、至少 1 条可核对来源及耗时。
2）空问题、超长问题和缺失索引均返回约定错误。
3）/docs 中输入和输出结构完整，源码不包含密钥。</t>
  </si>
  <si>
    <t>原 Day20：RAG 服务封装。</t>
  </si>
  <si>
    <t>P14</t>
  </si>
  <si>
    <t>第二周最小闭环验收</t>
  </si>
  <si>
    <t>目标：确认检索、回答与引用形成可靠的最小路径。
1）运行固定 10 题，记录检索、回答和引用结果。
2）只修复最影响演示的一项问题，并写下一周范围。</t>
  </si>
  <si>
    <t>reports/W02-review.md 与最小 RAG 演示记录</t>
  </si>
  <si>
    <t>1）8 道可回答题至少 6 道命中来源，2 道无答案题均明确拒答。
2）重启服务后无需重建索引即可完成一次问答。
3）能用5分钟解释Embedding、分块、检索、生成各自职责；未通过则插入S编号补练，顺延P15及后续，保留原任务。</t>
  </si>
  <si>
    <t>原 Day21：周复盘与缓冲，不新增理论。</t>
  </si>
  <si>
    <t>P15</t>
  </si>
  <si>
    <t>知识库业务验收范围</t>
  </si>
  <si>
    <t>目标：把通用问答收敛为一个可以交付的业务 MVP。
1）沿用 P06 场景，明确一个用户角色、三类高频问题和业务边界。
2）列出功能必须有/可以延后项，以及无答案时的用户提示。</t>
  </si>
  <si>
    <t>project-rag/docs/requirements.md</t>
  </si>
  <si>
    <t>1）形成 3 个用户故事，每个都有输入、预期结果和失败处理。
2）MVP 必须功能不超过 5 项，并写清文档更新者和使用者。
3）明确不支持的任务与敏感数据边界，不临时扩大范围。</t>
  </si>
  <si>
    <t>Microsoft Learn：Well-Architected 框架</t>
  </si>
  <si>
    <t>原 Day22：知识库需求与业务范围。</t>
  </si>
  <si>
    <t>P16</t>
  </si>
  <si>
    <t>知识库导入与更新</t>
  </si>
  <si>
    <t>目标：将业务资料稳定导入，并支持单文档更新。
1）整理 20–30 份小型公开/脱敏文本或 Markdown 文档；本轮不加入扫描 OCR。
2）在已有导入流程中增加文档版本或内容哈希，验证更新和删除失效内容。</t>
  </si>
  <si>
    <t>知识库目录、来源清单和更新命令</t>
  </si>
  <si>
    <t>1）每份资料有来源、采集日期和使用范围记录。
2）同一文档重复导入不重复，修改 1 份文档后只更新对应块。
3）删除/失效的 1 份测试文档不再出现在检索结果中。</t>
  </si>
  <si>
    <t>原 Day23：文档接入与更新；限制输入格式控制工作量。</t>
  </si>
  <si>
    <t>P17</t>
  </si>
  <si>
    <t>可操作的问答页面</t>
  </si>
  <si>
    <t>目标：让使用者无需命令行就能完成问答。
1）用 Streamlit 为已有 RAG API 制作输入、回答和来源区域。
2）展示加载状态、清空会话按钮与失败提示。</t>
  </si>
  <si>
    <t>知识库问答页面与启动说明</t>
  </si>
  <si>
    <t>1）从页面提交 3 个问题均能显示回答和来源。
2）请求期间有等待提示，失败时有可理解的说明。
3）清空按钮会移除当前会话内容；界面不显示密钥或堆栈。</t>
  </si>
  <si>
    <t>Streamlit：聊天应用教程</t>
  </si>
  <si>
    <t>Streamlit：Session State</t>
  </si>
  <si>
    <t>原 Day24：知识库交互页面。</t>
  </si>
  <si>
    <t>P18</t>
  </si>
  <si>
    <t>引用核对与证据展示</t>
  </si>
  <si>
    <t>目标：让用户能够快速核对答案中的事实。
1）在页面展示来源标题、文档位置和命中原文。
2）对回答中的核心事实检查来源支持；修复虚构或错配引用。</t>
  </si>
  <si>
    <t>来源展示组件与 10 条人工核对记录</t>
  </si>
  <si>
    <t>1）抽查 10 个有答案回答，至少 8 个回答的全部核心事实均有对应引用原文支持；按回答计数。
2）所有显示的引用 ID 都存在且能打开/展开对应片段。
3）对无依据结论明确标注无法确认，不用相似片段冒充证据。</t>
  </si>
  <si>
    <t>原 Day25：可追溯回答与引用核验。</t>
  </si>
  <si>
    <t>P19</t>
  </si>
  <si>
    <t>固定业务评测集</t>
  </si>
  <si>
    <t>目标：建立不会随调参被改写的业务验收依据。
1）编写 30 道业务题：20 道有答案、10 道无答案，标注来源与判定要点。
2）划分开发集 20 题和独立集 10 题，独立集本周封存。</t>
  </si>
  <si>
    <t>eval/questions.jsonl、评分规则与冻结版本号</t>
  </si>
  <si>
    <t>1）每题有 ID、问题、题型、预期要点、来源或无答案原因。
2）开发集含 14 道有答案和 6 道无答案；独立集含 6 道有答案和 4 道无答案。
3）题集和评分口径有版本；后续修题记录原因，禁止静默删难题。
4）固定口径：Hit@5=top-5命中至少一个预标注充分证据片段的题数/有答案题数；引用正确率=全部核心事实均有正确引用支持的回答数/有答案题数；拒答率=明确拒答且无编造的题数/无答案题数。</t>
  </si>
  <si>
    <t>pytest：入门</t>
  </si>
  <si>
    <t>原 Day26：业务题集与评测口径。</t>
  </si>
  <si>
    <t>P20</t>
  </si>
  <si>
    <t>业务 MVP 全流程演示</t>
  </si>
  <si>
    <t>目标：验证使用者从启动到核对证据能完成任务。
1）按一名新使用者的路径执行启动、提问、查看引用与文档更新。
2）修复阻断问题并录制一个 3–5 分钟演示。</t>
  </si>
  <si>
    <t>MVP 演示视频/截图流程与阻断问题清单</t>
  </si>
  <si>
    <t>1）连续完成 3 个业务问题和 1 个无答案问题。
2）更新一份文档后页面可检索到新内容，无需修改代码。
3）记录全部阻断缺陷，至少修复最严重的 1 项或说明客观阻碍。</t>
  </si>
  <si>
    <t>原 Day27：知识库 MVP 集成与展示。</t>
  </si>
  <si>
    <t>P21</t>
  </si>
  <si>
    <t>第三周复盘与冻结范围</t>
  </si>
  <si>
    <t>目标：确认 MVP 可用，进入评测和修复阶段。
1）按需求逐项核对页面、引用和更新功能，检查评测集完整性。
2）冻结本轮功能范围，只排缺陷与评测工作。</t>
  </si>
  <si>
    <t>reports/W03-review.md 与 MVP 验收表</t>
  </si>
  <si>
    <t>1）至少 3 个用户故事均有一次实际操作证据。
2）30 题清单齐全且独立 10 题未用于调参。
3）必须功能未通过则插入S编号补练，顺延P22及后续，保留原任务；不把新功能挤入评测周。</t>
  </si>
  <si>
    <t>原 Day28：周复盘与缓冲，不新增理论。</t>
  </si>
  <si>
    <t>P22</t>
  </si>
  <si>
    <t>检索基线量化</t>
  </si>
  <si>
    <t>目标：分开测量检索命中与回答问题。
1）在14道开发集有答案题上运行检索，按P19固定口径计算逐题Hit@5，并显示命中数/总题数。
2）记录每题 top-5、命中与否、耗时，并归类失败原因。</t>
  </si>
  <si>
    <t>eval/retrieval-baseline.json 与失败分类表</t>
  </si>
  <si>
    <t>1）14 道开发集有答案题全部有逐题命中结果及总 Hit@5。
2）每道失败题归到资料缺失、分块、检索或标注问题之一。
3）保存模型版本、分块参数、top-k 和索引版本，可重跑。</t>
  </si>
  <si>
    <t>原 Day29：检索评估基线。</t>
  </si>
  <si>
    <t>P23</t>
  </si>
  <si>
    <t>只改一个检索变量</t>
  </si>
  <si>
    <t>目标：用对照实验改善最大的检索缺口。
1）根据P22失败类型，只选分块长度、重叠长度或检索文本规范化中的一个变量；评测top-k固定为5。
2）在相同开发集比较改动前后结果，保留全部逐题变化。</t>
  </si>
  <si>
    <t>检索参数对照报告与选定配置</t>
  </si>
  <si>
    <t>1）实验只有 1 个主变量，数据、模型与题集版本保持一致。
2）报告 Hit@5、耗时及变好/变差题目数量。
3）改动无净收益则恢复基线；不得只展示成功样例。</t>
  </si>
  <si>
    <t>原 Day30：小范围检索优化，不引入新框架。</t>
  </si>
  <si>
    <t>P24</t>
  </si>
  <si>
    <t>回答依据与拒答</t>
  </si>
  <si>
    <t>目标：减少已有证据被误读及缺证据时的编造。
1）为开发集回答做人工核对，分别标记事实错误、引用错配和拒答失败。
2）只调整回答提示或上下文组织，重跑受影响题。</t>
  </si>
  <si>
    <t>回答质量评分表与提示版本</t>
  </si>
  <si>
    <t>1）14 道有答案题都核对核心事实与引用是否支持。
2）6 道无答案题记录是否明确拒答及是否夹带编造。
3）按P19逐题口径报告修改前后引用正确率与拒答率，保留失败例；若全部通过则保存2个边界用例。</t>
  </si>
  <si>
    <t>原 Day31：生成质量、引用与无答案策略。</t>
  </si>
  <si>
    <t>P25</t>
  </si>
  <si>
    <t>知识库提示注入检查</t>
  </si>
  <si>
    <t>目标：检验不可信资料不能改变应用行为。
1）制作 5 个对抗问题/文档片段，包括伪系统指令、索取密钥和诱导无引用回答。
2）明确文档仅是数据，加上必要的输入和输出限制后复测。</t>
  </si>
  <si>
    <t>5 条对抗用例与风险记录</t>
  </si>
  <si>
    <t>1）5 个用例均记录预期、实际响应与是否通过。
2）不输出密钥、环境变量或未提供的私人内容。
3）不能承诺彻底防注入；残余风险与应用权限边界写入说明。</t>
  </si>
  <si>
    <t>OWASP GenAI：提示注入</t>
  </si>
  <si>
    <t>原 Day32：RAG 安全边界与对抗检查。</t>
  </si>
  <si>
    <t>P26</t>
  </si>
  <si>
    <t>独立评测与成本记录</t>
  </si>
  <si>
    <t>目标：用未调参的题目检验泛化，并测量真实成本和延迟。
1）冻结配置后首次运行独立 10 题，人工按同一规则评分。
2）分别汇总开发20题、首次独立10题和全量30题结果，记录用量与延迟；全量结果不可称泛化准确率。</t>
  </si>
  <si>
    <t>独立评测报告、全量指标和成本估算</t>
  </si>
  <si>
    <t>1）独立10题结果与冻结配置单列；若后续参考这些结果调参，该集改标回归集，原独立成绩不得改写。
2）按P19口径：全量20道有答案题Hit@5至少16/20、逐题引用正确至少17/20；10道无答案题正确拒答至少8/10，未达标如实记录。
3）报告运行环境、样本数、延迟中位数/P95 与价格日期；用量缺失时标为估算。</t>
  </si>
  <si>
    <t>DeepSeek：模型与价格</t>
  </si>
  <si>
    <t>原 Day33：独立验收、时延与成本。</t>
  </si>
  <si>
    <t>P27</t>
  </si>
  <si>
    <t>RAG 交付说明</t>
  </si>
  <si>
    <t>目标：让他人能够复现项目并理解适用边界。
1）完善安装、导入、启动、评测命令和配置示例。
2）整理架构图、业务价值、指标和已知限制。</t>
  </si>
  <si>
    <t>project-rag/README.md 与交付目录</t>
  </si>
  <si>
    <t>1）README 含从空环境到一次问答的完整步骤及脱敏配置示例。
2）固定评测可由一条命令启动，人工评分项有明确说明。
3）展示 1 个成功案例和 1 个失败案例，不虚报准确率或业务收益。</t>
  </si>
  <si>
    <t>Python：虚拟环境</t>
  </si>
  <si>
    <t>原 Day34：项目一交付文档。</t>
  </si>
  <si>
    <t>P28</t>
  </si>
  <si>
    <t>第四周项目一验收</t>
  </si>
  <si>
    <t>目标：确认项目一达到可演示、可测量的交付标准。
1）按周关口核对全量指标、引用、拒答、启动和已知风险。
2）做一次不看源码的 8 分钟讲解，只修复关口缺口。</t>
  </si>
  <si>
    <t>reports/W04-review.md 与项目一验收结论</t>
  </si>
  <si>
    <t>1）按P19口径：20道有答案题命中至少16题，全部核心事实均有正确引用支持的回答至少17题；10道无答案题至少8题正确拒答。
2）独立集结果、失败例和运行证据可定位，未通过项不标完成。
3）未通过则插入补练并顺延P29及后续，不删除原任务。修复前另封存5题（3道有答案、2道无答案），修复冻结后首次测试；保留原独立成绩，已揭盲题仅作回归。</t>
  </si>
  <si>
    <t>原 Day35：项目一关口复盘，不新增理论。</t>
  </si>
  <si>
    <t>P29</t>
  </si>
  <si>
    <t>阶段二：Agent 项目与工程交付</t>
  </si>
  <si>
    <t>单工具调用闭环</t>
  </si>
  <si>
    <t>目标：让模型通过受约束工具取得真实数据。
1）按 DeepSeek tool calling 接入一个无副作用的业务指标查询工具。
2）记录模型请求工具、执行结果和最终回答的完整链路。</t>
  </si>
  <si>
    <t>单工具 Demo 与 3 条调用轨迹</t>
  </si>
  <si>
    <t>1）3 个业务问题都展示工具名、合法参数和返回结果。
2）工具结果通过对应 tool_call_id 回传，最终回答使用实际结果。
3）至少 1 个无需工具的问题不强行触发工具。</t>
  </si>
  <si>
    <t>DeepSeek：工具调用</t>
  </si>
  <si>
    <t>原 Day36：工具调用机制；业务数据取自已掌握 SQL 的结果。</t>
  </si>
  <si>
    <t>P30</t>
  </si>
  <si>
    <t>工具参数与错误协议</t>
  </si>
  <si>
    <t>目标：让错误调用能够被识别并得到可理解的结果。
1）为工具定义严格参数结构与允许取值。
2）用未知工具、缺参数和错误日期等情况检验调用边界。</t>
  </si>
  <si>
    <t>工具 schema、错误格式和 5 个调用样例</t>
  </si>
  <si>
    <t>1）合法参数可执行，3 类非法参数在执行前被拒绝。
2）未知工具名不映射到任意函数或系统命令。
3）错误结果有稳定类别和说明，最终回答不会假称查询成功。</t>
  </si>
  <si>
    <t>原 Day37：工具接口和参数校验。</t>
  </si>
  <si>
    <t>P31</t>
  </si>
  <si>
    <t>只读数据访问边界</t>
  </si>
  <si>
    <t>目标：让分析工具只能访问允许的数据且不能写入。
1）将脱敏演示数据放入独立 SQLite 副本，配置只读连接和表访问白名单。
2）增加最大返回行数和查询耗时限制，使用驱动权限控制阻止写操作。</t>
  </si>
  <si>
    <t>受限查询执行器与权限验证记录</t>
  </si>
  <si>
    <t>1）数据源以只读方式打开；测试前后文件内容哈希相同。
2）写入/删表/附加库/读取白名单外表至少 4 类请求被阻止。
3）查询最多100行，单值最多10KB、响应最多100KB，超时可中止；超限明确拒绝或标记截断。限制由驱动和执行器实施，不能只靠提示词或SELECT前缀。</t>
  </si>
  <si>
    <t>Python：sqlite3</t>
  </si>
  <si>
    <t>OWASP GenAI：过度自主权</t>
  </si>
  <si>
    <t>原 Day38：只读 NL2SQL 的执行安全集成；不重学 SQL。</t>
  </si>
  <si>
    <t>P32</t>
  </si>
  <si>
    <t>NL2SQL 工具集成</t>
  </si>
  <si>
    <t>目标：把自然语言问题连接到只读查询与可追溯结果。
1）向模型提供精简表结构、业务口径和受限查询工具。
2）选择 6 个已有业务问题，保存生成查询、执行结果及中文解释。</t>
  </si>
  <si>
    <t>自然语言查询接口与 6 条业务轨迹</t>
  </si>
  <si>
    <t>1）6 个问题至少 5 个得到与基准相同的关键数字。
2）每条回答可查看实际执行查询、数据时间范围和结果摘要。
3）执行失败不编造答案，允许最多 1 次修正后明确报错。</t>
  </si>
  <si>
    <t>原 Day39：NL2SQL 业务集成；验证工具行为而非新增 SQL 考核。</t>
  </si>
  <si>
    <t>P33</t>
  </si>
  <si>
    <t>两个工具的有界编排</t>
  </si>
  <si>
    <t>目标：让 Agent 在数据查询和知识检索间做受控选择。
1）复用项目一检索工具和项目二数据查询工具，不引入多 Agent 框架。
2）设置最多 3 次工具调用和总执行时限，并记录退出原因。</t>
  </si>
  <si>
    <t>两工具编排器与 6 条任务轨迹</t>
  </si>
  <si>
    <t>1）6 个问题覆盖仅检索、仅查数及组合任务，每类至少 2 个。
2）每条轨迹包含选择理由摘要、工具输入输出和耗时。
3）超过 3 次调用或总时限即退出并说明当前缺失信息，不无限循环。</t>
  </si>
  <si>
    <t>原 Day40：轻量 Agent 编排与循环边界。</t>
  </si>
  <si>
    <t>P34</t>
  </si>
  <si>
    <t>危险请求与失败退路</t>
  </si>
  <si>
    <t>目标：验证模型无法绕开只读和工具权限。
1）准备至少 6 个危险或异常请求：写入、删表、附库、越权表、提示注入和超大查询。
2）检查拒绝行为及工具故障时的用户提示。</t>
  </si>
  <si>
    <t>工具安全用例集与失败处理记录</t>
  </si>
  <si>
    <t>1）6 个危险请求全部被执行器阻止或安全限制，数据库哈希不变。
2）模拟工具超时与工具不可用时均有明确失败提示。
3）日志不包含密钥，错误响应不暴露数据库文件完整路径或堆栈。</t>
  </si>
  <si>
    <t>原 Day41：只读工具安全与故障验证。</t>
  </si>
  <si>
    <t>P35</t>
  </si>
  <si>
    <t>第五周工具链验收</t>
  </si>
  <si>
    <t>目标：确认工具链可靠后再构建业务分析页面。
1）复跑正常、错误和危险请求，检查权限与循环限制。
2）只修复最重要缺口，更新下一周风险。</t>
  </si>
  <si>
    <t>reports/W05-review.md 与工具链验收表</t>
  </si>
  <si>
    <t>1）至少 6 个正常业务样例和 6 个危险样例均有完整记录。
2）能说明工具 schema、模型决策和执行器权限各自职责。
3）只读/限时/限行任一未通过时，插入S编号补练并顺延P36及后续，保留原任务，不扩大功能。</t>
  </si>
  <si>
    <t>原 Day42：周复盘与缓冲，不新增理论。</t>
  </si>
  <si>
    <t>P36</t>
  </si>
  <si>
    <t>分析业务口径</t>
  </si>
  <si>
    <t>目标：把 Agent 输出限定为可核对的业务分析。
1）确定一个分析使用者及 3 个决策问题，沿用脱敏演示数据。
2）写清 5 个核心指标的口径、时间范围、单位和空值规则。</t>
  </si>
  <si>
    <t>project-analyst/docs/metrics.md 与用户故事</t>
  </si>
  <si>
    <t>1）3 个决策问题各有预期输出和对应数据来源。
2）5 个指标均有定义、单位、范围和基准示例。
3）明确数据是公开/模拟/脱敏，缺少因果证据时不得写因果结论。</t>
  </si>
  <si>
    <t>原 Day43：Business Analyst 业务需求与口径。</t>
  </si>
  <si>
    <t>P37</t>
  </si>
  <si>
    <t>结构化分析报告</t>
  </si>
  <si>
    <t>目标：让数字、证据和建议形成可阅读的报告。
1）定义报告结构：问题、数据范围、发现、证据、限制和下一步。
2）把工具结果转换成报告，给每条数字结论附结果来源。</t>
  </si>
  <si>
    <t>报告生成模块与 3 份业务样例</t>
  </si>
  <si>
    <t>1）3 份报告的关键数字均能回溯到工具输出。
2）每份都有时间范围、样本量及至少 1 条限制。
3）建议与已知事实分开表达，不编造业务成效或原因。</t>
  </si>
  <si>
    <t>原 Day44：分析结论与报告生成。</t>
  </si>
  <si>
    <t>P38</t>
  </si>
  <si>
    <t>图表与数据一致性</t>
  </si>
  <si>
    <t>目标：用已有可视化能力展示分析结果并避免数字错配。
1）复用现有图表经验，为 2 类问题生成柱状图或折线图。
2）使图表数据直接来自工具结果，补标题、单位和时间范围。</t>
  </si>
  <si>
    <t>2 类分析图表与数据对照记录</t>
  </si>
  <si>
    <t>1）至少 2 张图的所有展示数值与查询结果一致。
2）标题、坐标单位和时间范围完整，不用截断坐标夸大差异。
3）空数据与单点数据有明确提示，不生成误导性图表。</t>
  </si>
  <si>
    <t>原 Day45：业务图表；复用已有图表技能。</t>
  </si>
  <si>
    <t>P39</t>
  </si>
  <si>
    <t>分析应用页面</t>
  </si>
  <si>
    <t>目标：让使用者完成提问、查证、看图和导出。
1）用 Streamlit 整合问题输入、分析报告、图表和工具轨迹。
2）增加报告下载及会话重置，限制一次只运行一个分析任务。</t>
  </si>
  <si>
    <t>Business Analyst 页面与操作说明</t>
  </si>
  <si>
    <t>1）3 个业务任务都能在页面完成并查看数据依据。
2）导出的报告含标题、时间范围和来源说明。
3）清空会话不残留上一位使用者的内容；两会话测试不相互污染。</t>
  </si>
  <si>
    <t>原 Day46：分析应用交互与输出。</t>
  </si>
  <si>
    <t>P40</t>
  </si>
  <si>
    <t>固定业务分析验收集</t>
  </si>
  <si>
    <t>目标：建立可回归的业务题集，同时保留未用于修复的验收问题。
1）整理12道开发/回归业务题及基准，覆盖汇总、对比、趋势与缺数据；另封存4道题（3道有数据、1道缺数据），P42前不运行。
2）固定版本运行并逐条核对数字、来源、限制和工具选择。</t>
  </si>
  <si>
    <t>12题开发/回归集、逐题评分与4题封存验收集</t>
  </si>
  <si>
    <t>1）12道开发题保存基准、实际结果和判定理由；4道封存题只保存问题与预期结果，未用于调参。
2）至少 10 题关键数字正确且来源可追溯；无数据题不编造。
3）危险请求集单独保留，不能用平均分掩盖权限失败。</t>
  </si>
  <si>
    <t>原 Day47：分析 Agent 业务验收。</t>
  </si>
  <si>
    <t>P41</t>
  </si>
  <si>
    <t>修复分析项目最大缺口</t>
  </si>
  <si>
    <t>目标：用失败证据确定修复，不扩展新功能。
1）按 P40 失败结果选择影响最大的 1–2 项问题。
2）修复后重跑受影响问题和危险请求，并录制短演示。</t>
  </si>
  <si>
    <t>修复对照表、回归记录与 3–5 分钟演示</t>
  </si>
  <si>
    <t>1）至少 1 项缺口有修复前后逐题结果；若无失败则检验一个边界案例。
2）12道开发/回归题至少10题业务结果与基准一致，6个危险请求均被阻止；4题封存集仍不运行。
3）演示中包含 1 个正常任务和 1 个安全拒绝/缺数据任务。</t>
  </si>
  <si>
    <t>原 Day48：项目二缺陷修复与演示。</t>
  </si>
  <si>
    <t>P42</t>
  </si>
  <si>
    <t>第六周项目二验收</t>
  </si>
  <si>
    <t>目标：确认分析应用具备独立演示和解释能力。
1）冻结配置，首次运行4道封存题并单独报告；按新使用者路径启动应用，完成一个分析任务。
2）复盘业务验收和安全限制，只处理关口问题。
3）用10分钟预检Docker是否可用及Windows虚拟化要求，仅登记阻碍；安装问题留给环境补课。</t>
  </si>
  <si>
    <t>reports/W06-review.md 与项目二验收结论</t>
  </si>
  <si>
    <t>1）12题回归至少10题通过；4道独立题至少3题通过且缺数据题不编造；危险请求全部通过限制检查，分开报告三类结果。
2）8 分钟内解释数据口径、工具调用、只读边界和失败退路。
3）未通过时先插入补练再顺延P43；参考独立题修复后，该集仅用于回归，新独立验证需另封存4题。</t>
  </si>
  <si>
    <t>原 Day49：项目二关口复盘，不新增理论。</t>
  </si>
  <si>
    <t>P43</t>
  </si>
  <si>
    <t>两个项目的关键行为测试</t>
  </si>
  <si>
    <t>目标：用稳定离线测试保护交付中的关键行为。
1）为清洗、接口校验、检索来源和工具权限选取关键测试。
2）模型调用使用固定替身，真实模型验收单列执行。</t>
  </si>
  <si>
    <t>两项目测试入口与测试结果</t>
  </si>
  <si>
    <t>1）至少 10 个有业务意义的测试覆盖正常、错误和安全路径。
2）离线测试无需真实 API key，失败时能定位行为问题。
3）真实模型/HTTP 验收仍有独立清单，不把替身测试当作线上成功。</t>
  </si>
  <si>
    <t>原 Day50：关键测试与回归保护。</t>
  </si>
  <si>
    <t>P44</t>
  </si>
  <si>
    <t>请求日志与诊断</t>
  </si>
  <si>
    <t>目标：让一次失败能被快速追踪到具体环节。
1）为 API、检索和工具调用统一请求 ID，记录状态与耗时。
2）模拟 3 类故障并通过日志定位，不记录密钥与完整敏感正文。</t>
  </si>
  <si>
    <t>日志配置、3 条故障定位记录</t>
  </si>
  <si>
    <t>1）一次请求能串起 API、检索/工具和模型调用的日志。
2）3 个故障都能在 5 分钟内定位到环节和错误类别。
3）抽查日志无密钥、敏感原文或完整个人数据；保留调试所需最小字段。</t>
  </si>
  <si>
    <t>Python：日志教程</t>
  </si>
  <si>
    <t>Microsoft Learn：卓越运营原则</t>
  </si>
  <si>
    <t>原 Day51：日志、故障诊断与运维基本功。</t>
  </si>
  <si>
    <t>P45</t>
  </si>
  <si>
    <t>容器化已有 API</t>
  </si>
  <si>
    <t>目标：将已工作的 API 变成可重复构建的交付单元。
1）为一个 API 制作 Dockerfile 和忽略规则，固定依赖版本。
2）构建镜像并启动容器，映射端口和数据卷。</t>
  </si>
  <si>
    <t>Dockerfile、构建启动说明及容器 HTTP 记录</t>
  </si>
  <si>
    <t>1）镜像构建完成，容器内 /health 通过真实 HTTP 检查。
2）镜像不包含密钥或无关个人文件，配置从环境传入。
3）重建容器后持久化数据仍可使用；Docker 环境受阻则记录原因并优先修环境。</t>
  </si>
  <si>
    <t>Docker：入门实践</t>
  </si>
  <si>
    <t>FastAPI：Docker 部署</t>
  </si>
  <si>
    <t>原 Day52：Docker；只容器化现有逻辑。</t>
  </si>
  <si>
    <t>P46</t>
  </si>
  <si>
    <t>双项目部署与访问验证</t>
  </si>
  <si>
    <t>目标：让两个 Demo 按明确的访问方式运行。
1）将另一项目沿用同样方式打包，整理两个 Demo 的启动入口。
2）默认在本机完成容器部署；仅在已有授权和资源时使用远程主机。</t>
  </si>
  <si>
    <t>两项目部署说明与运行证据</t>
  </si>
  <si>
    <t>1）两项目均可启动，健康检查和各 1 条完整业务请求通过。
2）说明部署地址、端口、数据卷和配置位置，不把本地地址称为公网服务。
3）配置不开放无认证的公网工具接口；远程未做时明确写本机已验证。</t>
  </si>
  <si>
    <t>原 Day53：部署与访问验收；不强制产生云费用。</t>
  </si>
  <si>
    <t>P47</t>
  </si>
  <si>
    <t>持续集成</t>
  </si>
  <si>
    <t>目标：让每次代码改动自动检查关键离线行为。
1）为两个项目配置 GitHub Actions 的依赖安装和测试。
2）运行一次工作流，修复环境差异并保留结果链接。</t>
  </si>
  <si>
    <t>CI 工作流及运行记录</t>
  </si>
  <si>
    <t>1）工作流在推送或手动触发后完成至少 1 次成功运行。
2）流程不需要真实模型密钥，不会运行收费模型调用。
3）若网络/权限阻碍托管运行，保留本地等价检查并标记远端未验收，不虚报 CI 成功。</t>
  </si>
  <si>
    <t>GitHub Docs：构建和测试 Python</t>
  </si>
  <si>
    <t>原 Day54：CI 与交付检查。</t>
  </si>
  <si>
    <t>P48</t>
  </si>
  <si>
    <t>交接、重启与恢复</t>
  </si>
  <si>
    <t>目标：检验新环境运行和常见故障恢复。
1）在独立虚拟环境或干净容器中只按 README 复现两项目。
2）演练进程停止、缺配置或损坏测试索引中的 2 类情况，补恢复步骤。</t>
  </si>
  <si>
    <t>交接检查表与故障恢复手册</t>
  </si>
  <si>
    <t>1）两 Demo 都完成安装/启动、1 次 HTTP 检查和 1 个业务任务。
2）2 类故障均能按文档恢复，记录实际耗时。
3）依赖、示例数据、配置模板和评测入口齐全，无个人绝对路径依赖。</t>
  </si>
  <si>
    <t>Microsoft Learn：可靠性原则</t>
  </si>
  <si>
    <t>原 Day55：可复现交接与恢复。</t>
  </si>
  <si>
    <t>P49</t>
  </si>
  <si>
    <t>第七周工程交付验收</t>
  </si>
  <si>
    <t>目标：确认两个 Demo 能由文档驱动运行和维护。
1）核对独立环境复现、测试、部署、日志与恢复证据。
2）复盘剩余阻碍并决定是否进入方案周。</t>
  </si>
  <si>
    <t>reports/W07-review.md 与工程交付清单</t>
  </si>
  <si>
    <t>1）两个 Demo 均有独立环境运行、真实 HTTP 和业务验收证据。
2）离线测试通过，托管 CI/公网部署状态如实记录。
3）关键运行缺口未清零则插入S编号补练，顺延P50及后续并保留原任务；本日不添加新框架。</t>
  </si>
  <si>
    <t>原 Day56：周复盘与缓冲，不新增理论。</t>
  </si>
  <si>
    <t>P50</t>
  </si>
  <si>
    <t>阶段三：解决方案与求职</t>
  </si>
  <si>
    <t>企业场景与需求访谈稿</t>
  </si>
  <si>
    <t>目标：基于已有 Demo 构造一个有边界的企业实施场景。
1）选一个中小企业部门的知识查询与经营分析场景，明确是假设案例。
2）写 10 个访谈问题，区分已知事实、假设和待确认事项。</t>
  </si>
  <si>
    <t>方案第 1–2 页：背景、目标与需求</t>
  </si>
  <si>
    <t>1）包含业务角色、当前流程、3 个痛点和 3 个可测目标。
2）至少 5 条关键假设有验证方式和负责人角色。
3）明确本轮范围、排除项和现有两 Demo 能覆盖的部分。</t>
  </si>
  <si>
    <t>原 Day57–58：合并需求发现与场景定义。</t>
  </si>
  <si>
    <t>P51</t>
  </si>
  <si>
    <t>架构与数据流</t>
  </si>
  <si>
    <t>目标：用一张图讲清方案组件、边界和数据流向。
1）绘制用户、应用、模型、知识库和业务数据之间的数据流。
2）标注权限边界、外部依赖与失败后的处理路径。</t>
  </si>
  <si>
    <t>方案第 3–4 页：架构图与数据流</t>
  </si>
  <si>
    <t>1）图中每条主要连线都有输入/输出或接口说明。
2）明确原始数据、向量、日志的存储和访问边界。
3）至少 3 个失败点有降级/人工处理方式，能对应已有 Demo 证据。</t>
  </si>
  <si>
    <t>原 Day59–60：合并系统架构与数据流。</t>
  </si>
  <si>
    <t>P52</t>
  </si>
  <si>
    <t>技术选型与决策理由</t>
  </si>
  <si>
    <t>目标：说明为什么当前方案适合约束，而不是堆叠工具。
1）比较本地与托管部署、现有 DeepSeek 与一个候选模型/服务的适配。
2）按数据边界、效果、成本、维护四个维度写选型矩阵。</t>
  </si>
  <si>
    <t>方案第 5–6 页：选型矩阵与决策记录</t>
  </si>
  <si>
    <t>1）至少 2 个关键决策各比较 2 个备选方案。
2）每项结论有实测证据或明确标注的公开资料/假设。
3）列出更换选型的触发条件，不声称某工具普遍最优。</t>
  </si>
  <si>
    <t>原 Day61–62：合并模型、存储与部署选型。</t>
  </si>
  <si>
    <t>P53</t>
  </si>
  <si>
    <t>实施、验收与职责</t>
  </si>
  <si>
    <t>目标：把方案拆成可执行的试点交付过程。
1）规划 4 个实施里程碑，写清产物、依赖和负责人角色。
2）把业务目标转换为 UAT 清单，并规划培训与交接。</t>
  </si>
  <si>
    <t>方案第 7–8 页：实施计划、职责与验收表</t>
  </si>
  <si>
    <t>1）4 个里程碑都有可检查产物、进入/退出条件和依赖。
2）至少 8 条 UAT 标准覆盖效果、来源、权限、运行和恢复。
3）客户/实施者/运维者职责清楚，包含试点失败退出或回滚条件。</t>
  </si>
  <si>
    <t>原 Day63–64：合并实施、验收与交接设计。</t>
  </si>
  <si>
    <t>P54</t>
  </si>
  <si>
    <t>风险、权限与运行方案</t>
  </si>
  <si>
    <t>目标：说明系统风险及可实施的控制措施。
1）列出数据、模型、权限、服务可用性和使用者误用风险。
2）为高优先级风险安排预防、监测、应对和责任角色。</t>
  </si>
  <si>
    <t>方案第 9–10 页：风险表、安全与运行说明</t>
  </si>
  <si>
    <t>1）至少 6 项风险有概率/影响、控制、责任角色和剩余风险。
2）明确数据保留、脱敏、最小权限、日志访问与只读工具边界。
3）至少 2 条风险控制已由现有 Demo 用例证明，其余标注待实施。</t>
  </si>
  <si>
    <t>原 Day65–66：合并风险、安全和运维设计。</t>
  </si>
  <si>
    <t>P55</t>
  </si>
  <si>
    <t>成本、ROI 与完整方案</t>
  </si>
  <si>
    <t>目标：完成可核对假设的成本测算与实施方案初稿。
1）按低/中/高使用量估算模型、运行、维护和实施成本。
2）估算节省工时与盈亏平衡，整合为 10–15 页方案。</t>
  </si>
  <si>
    <t>10–15 页方案初稿与成本/ROI 计算表</t>
  </si>
  <si>
    <t>1）三档用量均给出调用量、token、单价日期、币种和维护假设。
2）ROI 含人工成本及采用率假设，并写清收益尚未真实验证。
3）方案覆盖需求、架构、选型、实施、验收、风险、成本和限制，页数 10–15。</t>
  </si>
  <si>
    <t>Microsoft Learn：成本优化原则</t>
  </si>
  <si>
    <t>原 Day67–69：合并成本、ROI 与方案整合。</t>
  </si>
  <si>
    <t>P56</t>
  </si>
  <si>
    <t>第八周方案答辩与缓冲</t>
  </si>
  <si>
    <t>目标：确认第三项目可解释、可质疑、可落实。
1）进行 10 分钟方案讲解并回答 5 个质疑。
2）只修复事实不一致、缺少依据和验收不清的部分。</t>
  </si>
  <si>
    <t>reports/W08-review.md、方案定稿与答辩记录</t>
  </si>
  <si>
    <t>1）10–15 页方案中的指标、成本和图示互相一致。
2）5 个问题覆盖数据安全、选型、失败处理、成本和上线验收。
3）无法回答的内容有明确待确认项；不把假设案例包装成真实客户案例。</t>
  </si>
  <si>
    <t>原 Day70：方案关口复盘，不新增理论。</t>
  </si>
  <si>
    <t>P57</t>
  </si>
  <si>
    <t>整理两项目的对外说明</t>
  </si>
  <si>
    <t>目标：让招聘者快速判断项目做了什么以及做得如何。
1）为两个项目各写业务问题、本人工作、架构、运行和评测结果。
2）准备演示入口、截图、已知限制与真实失败案例。</t>
  </si>
  <si>
    <t>两个项目的作品集 README</t>
  </si>
  <si>
    <t>1）每个 README 首页能找到场景、启动、演示和评测入口。
2）每个项目至少2项有来源的指标；区分开发/回归与首次独立测试的配置、题量和成绩，不将调参后的同题成绩称泛化能力。
3）贡献描述与代码和记录一致，不写虚构用户量或生产收益。</t>
  </si>
  <si>
    <t>原 Day71：项目作品集整理。</t>
  </si>
  <si>
    <t>P58</t>
  </si>
  <si>
    <t>统一作品集入口</t>
  </si>
  <si>
    <t>目标：让两 Demo 和方案组成清晰可浏览的能力证据。
1）创建简单作品集索引，链接两个 Demo、方案和演示。
2）检查链接、公开文件和敏感信息，整理一页能力映射。</t>
  </si>
  <si>
    <t>作品集首页及公开前检查记录</t>
  </si>
  <si>
    <t>1）入口在 3 次点击内能找到两个 Demo、方案和运行说明。
2）全部本地/仓库链接逐项检查，无无效占位链接。
3）公开材料无密钥、私人数据和无授权文档；公开发布按实际授权操作。</t>
  </si>
  <si>
    <t>GitHub Docs：管理个人主页 README</t>
  </si>
  <si>
    <t>GitHub Docs：从仓库中删除敏感数据</t>
  </si>
  <si>
    <t>原 Day72：统一展示和公开材料检查。</t>
  </si>
  <si>
    <t>P59</t>
  </si>
  <si>
    <t>更新目标岗位匹配</t>
  </si>
  <si>
    <t>目标：用当前岗位样本决定简历重点和少量补缺。
1）更新至少 8 条近期目标岗位，含实施、解决方案与 AI 应用工程相关角色。
2）把高频要求映射到两 Demo 和方案证据，选出最值得投递的一组。</t>
  </si>
  <si>
    <t>岗位匹配矩阵 v2 与目标清单</t>
  </si>
  <si>
    <t>1）8 条岗位均有日期、链接、要求和匹配/差距说明。
2）至少 5 条高频能力能关联到具体项目证据。
3）只选不超过 3 项高价值差距；无法短期满足的年限要求如实标注。</t>
  </si>
  <si>
    <t>National Careers Service：撰写简历</t>
  </si>
  <si>
    <t>原 Day73：岗位分析与投递定位。</t>
  </si>
  <si>
    <t>P60</t>
  </si>
  <si>
    <t>按岗位写两版简历</t>
  </si>
  <si>
    <t>目标：用可验证成果表达 AI 实施和应用能力。
1）制作偏实施/解决方案和偏 AI 应用工程两版简历。
2）为每个项目写 3–4 条问题、行动、结果描述，并核对事实。</t>
  </si>
  <si>
    <t>两版简历与事实核对表</t>
  </si>
  <si>
    <t>1）两版各 1–2 页，前半页能看出目标岗位和相关能力。
2）每条量化成果都能在评测或运行记录中找到依据。
3）保留真实教育/经历，未知信息留待本人补充，不编造工作年限或客户。</t>
  </si>
  <si>
    <t>原 Day74：岗位化简历。</t>
  </si>
  <si>
    <t>P61</t>
  </si>
  <si>
    <t>技术项目模拟面试</t>
  </si>
  <si>
    <t>目标：检验是否能独立解释实现、取舍和失败。
1）录制或进行一次 30–40 分钟模拟面试，覆盖 RAG 和工具调用。
2）逐题标记正确、含糊和不会，复查相关代码与证据。</t>
  </si>
  <si>
    <t>模拟面试 1 记录与改进清单</t>
  </si>
  <si>
    <t>1）至少回答 10 个问题，覆盖分块、评测、引用、只读、超时和部署。
2）能从一条失败案例解释定位过程及取舍，不只背定义。
3）选出最多 3 个薄弱点，各写一个当天可执行的补法。</t>
  </si>
  <si>
    <t>National Careers Service：面试建议</t>
  </si>
  <si>
    <t>原 Day75：技术面试与项目解释。</t>
  </si>
  <si>
    <t>P62</t>
  </si>
  <si>
    <t>方案与客户沟通模拟</t>
  </si>
  <si>
    <t>目标：检验需求澄清和方案解释能力。
1）进行第二次模拟：5 分钟需求澄清、10 分钟方案说明、10 分钟质疑。
2）用 STAR 整理 3 个真实学习/项目故事，修订表达。</t>
  </si>
  <si>
    <t>模拟面试 2 记录与 3 个项目故事</t>
  </si>
  <si>
    <t>1）先确认业务目标和约束，再说明方案，不直接堆工具名称。
2）能回答成本过高、数据不能外发、效果不达标三类问题。
3）3 个故事均包含本人行动、实际结果和反思，不伪装为真实客户交付。</t>
  </si>
  <si>
    <t>National Careers Service：STAR 面试方法</t>
  </si>
  <si>
    <t>原 Day76：方案沟通与行为面试。</t>
  </si>
  <si>
    <t>P63</t>
  </si>
  <si>
    <t>第九周求职材料验收</t>
  </si>
  <si>
    <t>目标：确认材料与演示已经可以用于真实投递。
1）核对作品集、两版简历、岗位匹配与两次模拟面试。
2）只修复投递前最重要的 1–2 个缺口。</t>
  </si>
  <si>
    <t>reports/W09-review.md 与投递准备清单</t>
  </si>
  <si>
    <t>1）两 Demo、方案、演示和简历链接均有效且可访问。
2）抽查 5 条简历成果都能定位到证据。
3）剩余薄弱点最多列 3 项并排优先级；严重事实或隐私问题未解决则先修复。</t>
  </si>
  <si>
    <t>原 Day77：周复盘与缓冲，不新增理论。</t>
  </si>
  <si>
    <t>P64</t>
  </si>
  <si>
    <t>第一批匹配投递</t>
  </si>
  <si>
    <t>目标：把材料用于真实岗位并建立可回访记录。
1）从目标清单选择 3 个匹配岗位，逐条调整简历重点。
2）由本人确认材料并完成投递，记录版本、渠道和日期。</t>
  </si>
  <si>
    <t>3 条投递记录与对应简历版本</t>
  </si>
  <si>
    <t>1）至少 3 个岗位有匹配理由及差距说明。
2）本人完成 3 次投递并记录凭据；岗位失效等阻碍如实记录并换候选。
3）不自动代发私人消息，不承诺投递必然带来面试或 offer。</t>
  </si>
  <si>
    <t>原 Day78：真实投递第一批。</t>
  </si>
  <si>
    <t>P65</t>
  </si>
  <si>
    <t>定向修复一个求职缺口</t>
  </si>
  <si>
    <t>目标：用岗位要求或模拟反馈提升最薄弱的证据。
1）从真实反馈/岗位矩阵选择一个高频且可当天解决的问题。
2）做最小修复或补证据，再更新对应简历和作品集。</t>
  </si>
  <si>
    <t>一项定向补缺产物与前后对照</t>
  </si>
  <si>
    <t>1）说明缺口来自哪条反馈或至少 3 条岗位要求。
2）补缺限定为 1 项，包含可运行/可演示/可核对结果。
3）缺少真实招聘反馈时明确使用模拟或岗位反馈，不编造回复。</t>
  </si>
  <si>
    <t>原 Day79：反馈驱动补缺。</t>
  </si>
  <si>
    <t>P66</t>
  </si>
  <si>
    <t>第二批匹配投递</t>
  </si>
  <si>
    <t>目标：验证修订后的材料并扩大合适机会。
1）选择另外 3 个匹配岗位，检查要求与项目证据对应关系。
2）本人完成第二批投递，比较两批材料与岗位差异。</t>
  </si>
  <si>
    <t>累计至少 6 条投递记录与版本对照</t>
  </si>
  <si>
    <t>1）新增 3 次由本人完成的投递，或记录具体客观阻碍与替代岗位。
2）每条记录含岗位链接、时间、简历版本、当前状态和下次查看日期。
3）不把没有回复视为技术能力结论，不据此盲目重做项目。</t>
  </si>
  <si>
    <t>原 Day80：真实投递第二批。</t>
  </si>
  <si>
    <t>P67</t>
  </si>
  <si>
    <t>陌生问题现场演示</t>
  </si>
  <si>
    <t>目标：检验能否应对未排练的业务问题和常见追问。
1）给两个 Demo 各准备 3 道未用于调参的新题，现场运行。
2）完成一次 15 分钟演示，主动说明限制与失败处理。</t>
  </si>
  <si>
    <t>6 道新题结果与现场演示记录</t>
  </si>
  <si>
    <t>1）6 道题全部记录结果及判定依据，不只选成功题。
2）两项目各至少 2 道正常业务题达到预期；不足则记录待修复项。
3）能够解释任何失败发生在数据、检索、模型、工具还是界面环节。</t>
  </si>
  <si>
    <t>原 Day81：陌生场景与面试演示。</t>
  </si>
  <si>
    <t>P68</t>
  </si>
  <si>
    <t>双 Demo 独立复现终验</t>
  </si>
  <si>
    <t>目标：确认最终作品可以脱离当前开发会话运行。
1）在独立环境从 README 启动两项目，执行固定评测和业务请求。
2）核对依赖、数据、配置示例和恢复步骤，修复阻断问题。</t>
  </si>
  <si>
    <t>两个 Demo 最终复现记录与评测快照</t>
  </si>
  <si>
    <t>1）两项目均完成独立环境安装、启动、真实 HTTP 和一条完整业务流程。
2）RAG固定集、分析12题回归集按原口径报告；独立集注明首次测试或已揭盲后回归；安全用例全部通过。
3）未验证的远程部署或真实模型路径明确标出，不能以离线替身代替。</t>
  </si>
  <si>
    <t>原 Day82：作品工程终验。</t>
  </si>
  <si>
    <t>P69</t>
  </si>
  <si>
    <t>方案与个人能力终验</t>
  </si>
  <si>
    <t>目标：检验能否把业务目标、系统行为和交付计划连起来讲清。
1）按 10–15 页方案做 10 分钟讲解，回答 5 个新追问。
2）核对简历、作品集、方案和评测的事实一致性。</t>
  </si>
  <si>
    <t>终验答辩记录与能力证据矩阵</t>
  </si>
  <si>
    <t>1）两 Demo 和方案都能说明业务问题、实现、指标、限制及下一步。
2）5 个追问至少 4 个有具体回答；不会的如实记录待确认与查证方式。
3）抽查 8 条成果描述无互相矛盾、虚构客户或未经验证的收益。</t>
  </si>
  <si>
    <t>原 Day83：方案与能力终验。</t>
  </si>
  <si>
    <t>P70</t>
  </si>
  <si>
    <t>第十周总复盘与下一轮计划</t>
  </si>
  <si>
    <t>目标：据证据决定后续两周优先事项，并持续跟踪投递。
1）汇总完成、未完成、耗时和投递反馈，区分能力缺口与外部阻碍。
2）只安排下一轮最重要的 3 项行动，延续每日跟进。</t>
  </si>
  <si>
    <t>reports/W10-review.md、最终验收表与下一轮两周清单</t>
  </si>
  <si>
    <t>1）两可复现 Demo、一份 10–15 页方案、固定评测和独立解释逐项给出证据/缺口。
2）累计至少 6 次匹配投递或明确记录阻碍；未获 offer 不等于本计划未完成。
3）下一轮 3 项行动各有目标、预计时长和验收；未完成项保留原 ID 与历史记录。</t>
  </si>
  <si>
    <t>原 Day84：最终复盘与持续调整，不新增理论。</t>
  </si>
  <si>
    <t>学习资料与阅读范围</t>
  </si>
  <si>
    <t>按每日清单中的链接学习；先读推荐部分，再用当天产出检验理解。</t>
  </si>
  <si>
    <t>编号</t>
  </si>
  <si>
    <t>资料名称</t>
  </si>
  <si>
    <t>链接</t>
  </si>
  <si>
    <t>推荐阅读部分</t>
  </si>
  <si>
    <t>fastapi-first</t>
  </si>
  <si>
    <t>https://fastapi.tiangolo.com/zh/tutorial/first-steps/</t>
  </si>
  <si>
    <t>启动已有服务、读取 /docs、实际发送 HTTP 请求；无需重新通读基础教程。</t>
  </si>
  <si>
    <t>fastapi-body</t>
  </si>
  <si>
    <t>https://fastapi.tiangolo.com/zh/tutorial/body/</t>
  </si>
  <si>
    <t>请求模型、字段校验及 422 错误；用于数据分析与聊天接口。</t>
  </si>
  <si>
    <t>fastapi-errors</t>
  </si>
  <si>
    <t>https://fastapi.tiangolo.com/zh/tutorial/handling-errors/</t>
  </si>
  <si>
    <t>用 HTTPException 返回业务错误，区分输入错误与服务故障。</t>
  </si>
  <si>
    <t>fastapi-test</t>
  </si>
  <si>
    <t>https://fastapi.tiangolo.com/zh/tutorial/testing/</t>
  </si>
  <si>
    <t>TestClient、正常及错误路径；后续仍要补真实 HTTP 检查。</t>
  </si>
  <si>
    <t>fastapi-cors</t>
  </si>
  <si>
    <t>FastAPI：跨域</t>
  </si>
  <si>
    <t>https://fastapi.tiangolo.com/zh/tutorial/cors/</t>
  </si>
  <si>
    <t>仅在前后端分离需要时配置允许来源，避免任意开放。</t>
  </si>
  <si>
    <t>pandas-missing</t>
  </si>
  <si>
    <t>https://pandas.pydata.org/docs/user_guide/missing_data.html</t>
  </si>
  <si>
    <t>只读缺失值识别与处理部分，补可复现清洗，不重学 Pandas。</t>
  </si>
  <si>
    <t>pandas-io</t>
  </si>
  <si>
    <t>https://pandas.pydata.org/docs/user_guide/io.html</t>
  </si>
  <si>
    <t>read_csv、to_csv、dtype 与输出路径；保留原数据。</t>
  </si>
  <si>
    <t>python-venv</t>
  </si>
  <si>
    <t>https://docs.python.org/zh-cn/3/library/venv.html</t>
  </si>
  <si>
    <t>为两个 Demo 建独立环境并记录安装、启动命令。</t>
  </si>
  <si>
    <t>python-logging</t>
  </si>
  <si>
    <t>https://docs.python.org/zh-cn/3/howto/logging.html</t>
  </si>
  <si>
    <t>日志级别、结构化字段与错误上下文；避免记录密钥及敏感正文。</t>
  </si>
  <si>
    <t>python-sqlite</t>
  </si>
  <si>
    <t>https://docs.python.org/zh-cn/3/library/sqlite3.html</t>
  </si>
  <si>
    <t>只读 URI、set_authorizer、set_progress_handler；只用于工具集成与安全限制。</t>
  </si>
  <si>
    <t>deepseek-first</t>
  </si>
  <si>
    <t>https://api-docs.deepseek.com/zh-cn/</t>
  </si>
  <si>
    <t>沿用现有兼容 SDK 和模型配置，核对基础调用参数。</t>
  </si>
  <si>
    <t>deepseek-stream</t>
  </si>
  <si>
    <t>https://api-docs.deepseek.com/zh-cn/api/create-chat-completion</t>
  </si>
  <si>
    <t>阅读 stream 与分块响应字段；处理空增量、结束和异常。</t>
  </si>
  <si>
    <t>deepseek-errors</t>
  </si>
  <si>
    <t>https://api-docs.deepseek.com/zh-cn/quick_start/error_codes</t>
  </si>
  <si>
    <t>超时、限流、认证失败的分类处理与有限重试。</t>
  </si>
  <si>
    <t>deepseek-json</t>
  </si>
  <si>
    <t>https://api-docs.deepseek.com/zh-cn/guides/json_mode</t>
  </si>
  <si>
    <t>JSON 输出要求、提示词说明、空输出及本地结构校验。</t>
  </si>
  <si>
    <t>deepseek-tools</t>
  </si>
  <si>
    <t>https://api-docs.deepseek.com/zh-cn/guides/tool_calls</t>
  </si>
  <si>
    <t>工具 schema、tool_call_id、执行工具后回传结果；先做单工具。</t>
  </si>
  <si>
    <t>deepseek-price</t>
  </si>
  <si>
    <t>https://api-docs.deepseek.com/zh-cn/quick_start/pricing</t>
  </si>
  <si>
    <t>按实际调用返回的 token 用量和当天公开价格估算成本。</t>
  </si>
  <si>
    <t>st-similarity</t>
  </si>
  <si>
    <t>https://www.sbert.net/docs/sentence_transformer/usage/semantic_textual_similarity.html</t>
  </si>
  <si>
    <t>编码文本、相似度矩阵、中文适用模型与 CPU 运行。</t>
  </si>
  <si>
    <t>st-search</t>
  </si>
  <si>
    <t>https://www.sbert.net/examples/sentence_transformer/applications/semantic-search/README.html</t>
  </si>
  <si>
    <t>query/document 编码、top-k 检索；不要求训练模型。</t>
  </si>
  <si>
    <t>chunking</t>
  </si>
  <si>
    <t>https://learn.microsoft.com/zh-cn/azure/search/vector-search-how-to-chunk-documents</t>
  </si>
  <si>
    <t>按标题/长度切分、重叠、元数据与分块权衡；原则可用于本地项目。</t>
  </si>
  <si>
    <t>chroma</t>
  </si>
  <si>
    <t>https://docs.trychroma.com/docs/overview/getting-started</t>
  </si>
  <si>
    <t>collection、持久化、upsert、query 与元数据过滤；只读需要的小节。</t>
  </si>
  <si>
    <t>rag-overview</t>
  </si>
  <si>
    <t>https://learn.microsoft.com/zh-cn/azure/search/retrieval-augmented-generation-overview</t>
  </si>
  <si>
    <t>检索、上下文、生成与引用的职责边界；无需订阅 Azure。</t>
  </si>
  <si>
    <t>streamlit-chat</t>
  </si>
  <si>
    <t>https://docs.streamlit.io/develop/tutorials/chat-and-llm-apps/build-conversational-apps</t>
  </si>
  <si>
    <t>聊天输入、聊天消息与展示流式回答；沿用 DeepSeek 客户端。</t>
  </si>
  <si>
    <t>streamlit-state</t>
  </si>
  <si>
    <t>https://docs.streamlit.io/develop/api-reference/caching-and-state/st.session_state</t>
  </si>
  <si>
    <t>会话隔离、重置和状态生命周期。</t>
  </si>
  <si>
    <t>streamlit-cache</t>
  </si>
  <si>
    <t>Streamlit：缓存</t>
  </si>
  <si>
    <t>https://docs.streamlit.io/develop/concepts/architecture/caching</t>
  </si>
  <si>
    <t>模型/索引资源缓存与数据缓存的区别；只在实测有收益时使用。</t>
  </si>
  <si>
    <t>pytest</t>
  </si>
  <si>
    <t>https://docs.pytest.org/en/stable/getting-started.html</t>
  </si>
  <si>
    <t>断言、测试发现、异常验证和临时目录；测试关键业务行为。</t>
  </si>
  <si>
    <t>owasp-injection</t>
  </si>
  <si>
    <t>https://genai.owasp.org/llmrisk/llm01-prompt-injection/</t>
  </si>
  <si>
    <t>不可信文档/工具结果与指令边界，设计对抗用例。</t>
  </si>
  <si>
    <t>owasp-excess</t>
  </si>
  <si>
    <t>https://genai.owasp.org/llmrisk/llm062025-excessive-agency/</t>
  </si>
  <si>
    <t>最小工具权限、限定循环和人工控制；本计划仅开放只读操作。</t>
  </si>
  <si>
    <t>docker-start</t>
  </si>
  <si>
    <t>https://docs.docker.com/get-started/workshop/</t>
  </si>
  <si>
    <t>镜像、容器、端口映射、卷；以现有 API 为例。</t>
  </si>
  <si>
    <t>fastapi-docker</t>
  </si>
  <si>
    <t>https://fastapi.tiangolo.com/zh/deployment/docker/</t>
  </si>
  <si>
    <t>Dockerfile、依赖安装、启动命令与部署边界。</t>
  </si>
  <si>
    <t>github-actions</t>
  </si>
  <si>
    <t>https://docs.github.com/zh/actions/use-cases-and-examples/building-and-testing/building-and-testing-python</t>
  </si>
  <si>
    <t>在 CI 安装依赖并运行离线测试，不向工作流写入密钥。</t>
  </si>
  <si>
    <t>github-readme</t>
  </si>
  <si>
    <t>https://docs.github.com/zh/repositories/managing-your-repositorys-settings-and-features/customizing-your-repository/about-readmes</t>
  </si>
  <si>
    <t>项目目的、运行说明、示例与支持方式。</t>
  </si>
  <si>
    <t>github-profile</t>
  </si>
  <si>
    <t>https://docs.github.com/zh/account-and-profile/setting-up-and-managing-your-github-profile/customizing-your-profile/managing-your-profile-readme</t>
  </si>
  <si>
    <t>展示项目入口、能力证据与联系方式；不要求公开私人资料。</t>
  </si>
  <si>
    <t>github-secret</t>
  </si>
  <si>
    <t>https://docs.github.com/zh/authentication/keeping-your-account-and-data-secure/removing-sensitive-data-from-a-repository</t>
  </si>
  <si>
    <t>阅读预防泄露建议；若发现历史密钥先撤销轮换，勿直接公开仓库。</t>
  </si>
  <si>
    <t>well-architected</t>
  </si>
  <si>
    <t>https://learn.microsoft.com/zh-cn/azure/well-architected/what-is-well-architected-framework</t>
  </si>
  <si>
    <t>可靠性、安全、成本、运维与性能五方面，用于小型企业方案。</t>
  </si>
  <si>
    <t>solution-role</t>
  </si>
  <si>
    <t>https://learn.microsoft.com/zh-cn/training/career-paths/solution-architect</t>
  </si>
  <si>
    <t>仅参考需求、架构、协作与交付能力；不把高级架构师岗位作为入门承诺。</t>
  </si>
  <si>
    <t>azure-cost</t>
  </si>
  <si>
    <t>https://learn.microsoft.com/zh-cn/azure/well-architected/cost-optimization/principles</t>
  </si>
  <si>
    <t>成本假设、预算和持续计量；本地 Demo 可零云费用。</t>
  </si>
  <si>
    <t>azure-reliability</t>
  </si>
  <si>
    <t>https://learn.microsoft.com/zh-cn/azure/well-architected/reliability/principles</t>
  </si>
  <si>
    <t>故障模式、恢复与运行说明；不照搬企业级复杂度。</t>
  </si>
  <si>
    <t>azure-operations</t>
  </si>
  <si>
    <t>https://learn.microsoft.com/zh-cn/azure/well-architected/operational-excellence/principles</t>
  </si>
  <si>
    <t>交付、观测、变更与反馈；用于验收和实施计划。</t>
  </si>
  <si>
    <t>star</t>
  </si>
  <si>
    <t>https://nationalcareers.service.gov.uk/careers-advice/interview-advice/the-star-method</t>
  </si>
  <si>
    <t>按情境、任务、行动、结果表达真实项目经历；禁止编造客户和业绩。</t>
  </si>
  <si>
    <t>cv</t>
  </si>
  <si>
    <t>https://nationalcareers.service.gov.uk/careers-advice/cv-sections</t>
  </si>
  <si>
    <t>按岗位组织技能和可验证成果，替换泛泛的熟悉/精通。</t>
  </si>
  <si>
    <t>interview</t>
  </si>
  <si>
    <t>https://nationalcareers.service.gov.uk/careers-advice/interview-advice</t>
  </si>
  <si>
    <t>准备岗位、项目解释、问题与面后复盘。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</si>
</sst>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</numFmts>
  <fonts count="28">
    <font>
      <sz val="11"/>
      <name val="Carlito"/>
      <charset val="134"/>
    </font>
    <font>
      <sz val="11"/>
      <color rgb="FF23314B"/>
      <name val="Microsoft YaHei"/>
      <charset val="134"/>
    </font>
    <font>
      <b/>
      <sz val="16"/>
      <color rgb="FF23314B"/>
      <name val="Microsoft YaHei"/>
      <charset val="134"/>
    </font>
    <font>
      <i/>
      <sz val="11"/>
      <color rgb="FF66758A"/>
      <name val="Microsoft YaHei"/>
      <charset val="134"/>
    </font>
    <font>
      <b/>
      <sz val="11"/>
      <color rgb="FFFFFFFF"/>
      <name val="Microsoft YaHei"/>
      <charset val="134"/>
    </font>
    <font>
      <sz val="11"/>
      <color rgb="FF1A5FB4"/>
      <name val="Microsoft YaHei"/>
      <charset val="134"/>
    </font>
    <font>
      <sz val="11"/>
      <color rgb="FF66758A"/>
      <name val="Microsoft YaHei"/>
      <charset val="134"/>
    </font>
    <font>
      <b/>
      <sz val="11"/>
      <color rgb="FF23314B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25466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6FA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D5DDE7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0" fillId="0" borderId="0"/>
  </cellStyleXfs>
  <cellXfs count="35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3" fillId="0" borderId="1" xfId="49" applyNumberFormat="1" applyFont="1" applyFill="1" applyBorder="1" applyAlignment="1">
      <alignment vertical="center"/>
    </xf>
    <xf numFmtId="0" fontId="1" fillId="0" borderId="1" xfId="49" applyNumberFormat="1" applyFont="1" applyFill="1" applyBorder="1" applyAlignment="1">
      <alignment vertical="center"/>
    </xf>
    <xf numFmtId="0" fontId="4" fillId="2" borderId="2" xfId="49" applyNumberFormat="1" applyFont="1" applyFill="1" applyBorder="1" applyAlignment="1">
      <alignment horizontal="center" vertical="center" wrapText="1"/>
    </xf>
    <xf numFmtId="0" fontId="4" fillId="2" borderId="3" xfId="49" applyNumberFormat="1" applyFont="1" applyFill="1" applyBorder="1" applyAlignment="1">
      <alignment horizontal="center" vertical="center" wrapText="1"/>
    </xf>
    <xf numFmtId="0" fontId="4" fillId="2" borderId="4" xfId="49" applyNumberFormat="1" applyFont="1" applyFill="1" applyBorder="1" applyAlignment="1">
      <alignment horizontal="center" vertical="center" wrapText="1"/>
    </xf>
    <xf numFmtId="0" fontId="1" fillId="3" borderId="0" xfId="49" applyNumberFormat="1" applyFont="1" applyFill="1" applyBorder="1" applyAlignment="1">
      <alignment vertical="top" wrapText="1"/>
    </xf>
    <xf numFmtId="0" fontId="5" fillId="3" borderId="0" xfId="49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vertical="top" wrapText="1"/>
    </xf>
    <xf numFmtId="0" fontId="5" fillId="4" borderId="0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 applyAlignment="1">
      <alignment horizontal="center" vertical="top" wrapText="1"/>
    </xf>
    <xf numFmtId="0" fontId="1" fillId="5" borderId="0" xfId="49" applyNumberFormat="1" applyFont="1" applyFill="1" applyBorder="1" applyAlignment="1">
      <alignment horizontal="center" vertical="top" wrapText="1"/>
    </xf>
    <xf numFmtId="176" fontId="1" fillId="5" borderId="0" xfId="49" applyNumberFormat="1" applyFont="1" applyFill="1" applyBorder="1" applyAlignment="1">
      <alignment horizontal="center" vertical="top" wrapText="1"/>
    </xf>
    <xf numFmtId="0" fontId="1" fillId="5" borderId="0" xfId="49" applyNumberFormat="1" applyFont="1" applyFill="1" applyBorder="1" applyAlignment="1">
      <alignment vertical="top" wrapText="1"/>
    </xf>
    <xf numFmtId="176" fontId="1" fillId="3" borderId="0" xfId="49" applyNumberFormat="1" applyFont="1" applyFill="1" applyBorder="1" applyAlignment="1">
      <alignment horizontal="center" vertical="top" wrapText="1"/>
    </xf>
    <xf numFmtId="177" fontId="1" fillId="3" borderId="0" xfId="49" applyNumberFormat="1" applyFont="1" applyFill="1" applyBorder="1" applyAlignment="1">
      <alignment horizontal="center" vertical="top" wrapText="1"/>
    </xf>
    <xf numFmtId="177" fontId="1" fillId="5" borderId="0" xfId="49" applyNumberFormat="1" applyFont="1" applyFill="1" applyBorder="1" applyAlignment="1">
      <alignment horizontal="right" vertical="top" wrapText="1"/>
    </xf>
    <xf numFmtId="0" fontId="1" fillId="4" borderId="0" xfId="49" applyNumberFormat="1" applyFont="1" applyFill="1" applyBorder="1" applyAlignment="1">
      <alignment horizontal="center" vertical="top" wrapText="1"/>
    </xf>
    <xf numFmtId="176" fontId="1" fillId="4" borderId="0" xfId="49" applyNumberFormat="1" applyFont="1" applyFill="1" applyBorder="1" applyAlignment="1">
      <alignment horizontal="center" vertical="top" wrapText="1"/>
    </xf>
    <xf numFmtId="177" fontId="1" fillId="4" borderId="0" xfId="49" applyNumberFormat="1" applyFont="1" applyFill="1" applyBorder="1" applyAlignment="1">
      <alignment horizontal="center" vertical="top" wrapText="1"/>
    </xf>
    <xf numFmtId="0" fontId="6" fillId="0" borderId="0" xfId="49" applyNumberFormat="1" applyFont="1" applyFill="1" applyBorder="1" applyAlignment="1">
      <alignment vertical="center"/>
    </xf>
    <xf numFmtId="0" fontId="1" fillId="4" borderId="0" xfId="49" applyNumberFormat="1" applyFont="1" applyFill="1" applyBorder="1" applyAlignment="1">
      <alignment vertical="center"/>
    </xf>
    <xf numFmtId="0" fontId="7" fillId="4" borderId="0" xfId="49" applyNumberFormat="1" applyFont="1" applyFill="1" applyBorder="1" applyAlignment="1">
      <alignment horizontal="center" vertical="center"/>
    </xf>
    <xf numFmtId="9" fontId="7" fillId="4" borderId="0" xfId="49" applyNumberFormat="1" applyFont="1" applyFill="1" applyBorder="1" applyAlignment="1">
      <alignment horizontal="center" vertical="center"/>
    </xf>
    <xf numFmtId="177" fontId="7" fillId="4" borderId="0" xfId="49" applyNumberFormat="1" applyFont="1" applyFill="1" applyBorder="1" applyAlignment="1">
      <alignment horizontal="center" vertical="center"/>
    </xf>
    <xf numFmtId="176" fontId="7" fillId="4" borderId="0" xfId="49" applyNumberFormat="1" applyFont="1" applyFill="1" applyBorder="1" applyAlignment="1">
      <alignment horizontal="center" vertical="center"/>
    </xf>
    <xf numFmtId="0" fontId="7" fillId="0" borderId="0" xfId="49" applyNumberFormat="1" applyFont="1" applyFill="1" applyBorder="1" applyAlignment="1">
      <alignment vertical="center"/>
    </xf>
    <xf numFmtId="0" fontId="1" fillId="0" borderId="0" xfId="49" applyNumberFormat="1" applyFont="1" applyFill="1" applyBorder="1" applyAlignment="1">
      <alignment horizontal="center" vertical="center" wrapText="1"/>
    </xf>
    <xf numFmtId="0" fontId="1" fillId="0" borderId="0" xfId="49" applyNumberFormat="1" applyFont="1" applyFill="1" applyBorder="1" applyAlignment="1">
      <alignment vertical="center" wrapText="1"/>
    </xf>
    <xf numFmtId="9" fontId="1" fillId="0" borderId="0" xfId="49" applyNumberFormat="1" applyFont="1" applyFill="1" applyBorder="1" applyAlignment="1">
      <alignment horizontal="center" vertical="center" wrapText="1"/>
    </xf>
    <xf numFmtId="0" fontId="1" fillId="4" borderId="0" xfId="49" applyNumberFormat="1" applyFont="1" applyFill="1" applyBorder="1" applyAlignment="1">
      <alignment horizontal="center" vertical="center" wrapText="1"/>
    </xf>
    <xf numFmtId="0" fontId="1" fillId="4" borderId="0" xfId="49" applyNumberFormat="1" applyFont="1" applyFill="1" applyBorder="1" applyAlignment="1">
      <alignment vertical="center" wrapText="1"/>
    </xf>
    <xf numFmtId="9" fontId="1" fillId="4" borderId="0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0">
    <dxf>
      <font>
        <color rgb="FF66758A"/>
      </font>
      <fill>
        <patternFill patternType="solid">
          <bgColor rgb="FFF0F2F5"/>
        </patternFill>
      </fill>
    </dxf>
    <dxf>
      <font>
        <color rgb="FF8B5900"/>
      </font>
      <fill>
        <patternFill patternType="solid">
          <bgColor rgb="FFFFF0C2"/>
        </patternFill>
      </fill>
    </dxf>
    <dxf>
      <font>
        <b val="1"/>
        <color rgb="FF24633D"/>
      </font>
      <fill>
        <patternFill patternType="solid">
          <bgColor rgb="FFE5F2E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DailyPlan" displayName="DailyPlan" ref="A5:Q75" totalsRowShown="0">
  <autoFilter xmlns:etc="http://www.wps.cn/officeDocument/2017/etCustomData" ref="A5:Q75" etc:filterBottomFollowUsedRange="0"/>
  <tableColumns count="17">
    <tableColumn id="1" name="Day"/>
    <tableColumn id="2" name="周次"/>
    <tableColumn id="3" name="阶段"/>
    <tableColumn id="4" name="学习主题"/>
    <tableColumn id="5" name="今日任务"/>
    <tableColumn id="6" name="今日产出"/>
    <tableColumn id="7" name="验收标准"/>
    <tableColumn id="8" name="完成状态"/>
    <tableColumn id="9" name="完成日期"/>
    <tableColumn id="10" name="备注"/>
    <tableColumn id="11" name="计划日期"/>
    <tableColumn id="12" name="计划小时"/>
    <tableColumn id="13" name="资料 1"/>
    <tableColumn id="14" name="资料 2"/>
    <tableColumn id="15" name="证据"/>
    <tableColumn id="16" name="原计划映射"/>
    <tableColumn id="17" name="实际小时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earningResources" displayName="LearningResources" ref="A5:D46" totalsRowShown="0">
  <autoFilter xmlns:etc="http://www.wps.cn/officeDocument/2017/etCustomData" ref="A5:D46" etc:filterBottomFollowUsedRange="0"/>
  <tableColumns count="4">
    <tableColumn id="1" name="编号"/>
    <tableColumn id="2" name="资料名称"/>
    <tableColumn id="3" name="链接"/>
    <tableColumn id="4" name="推荐阅读部分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api-docs.deepseek.com/zh-cn/guides/json_mode" TargetMode="External"/><Relationship Id="rId8" Type="http://schemas.openxmlformats.org/officeDocument/2006/relationships/hyperlink" Target="https://api-docs.deepseek.com/zh-cn/quick_start/error_codes" TargetMode="External"/><Relationship Id="rId7" Type="http://schemas.openxmlformats.org/officeDocument/2006/relationships/hyperlink" Target="https://api-docs.deepseek.com/zh-cn/api/create-chat-completion" TargetMode="External"/><Relationship Id="rId6" Type="http://schemas.openxmlformats.org/officeDocument/2006/relationships/hyperlink" Target="https://fastapi.tiangolo.com/zh/tutorial/handling-errors/" TargetMode="External"/><Relationship Id="rId5" Type="http://schemas.openxmlformats.org/officeDocument/2006/relationships/hyperlink" Target="https://pandas.pydata.org/docs/user_guide/io.html" TargetMode="External"/><Relationship Id="rId40" Type="http://schemas.openxmlformats.org/officeDocument/2006/relationships/hyperlink" Target="https://nationalcareers.service.gov.uk/careers-advice/interview-advice/the-star-method" TargetMode="External"/><Relationship Id="rId4" Type="http://schemas.openxmlformats.org/officeDocument/2006/relationships/hyperlink" Target="https://pandas.pydata.org/docs/user_guide/missing_data.html" TargetMode="External"/><Relationship Id="rId39" Type="http://schemas.openxmlformats.org/officeDocument/2006/relationships/hyperlink" Target="https://nationalcareers.service.gov.uk/careers-advice/interview-advice" TargetMode="External"/><Relationship Id="rId38" Type="http://schemas.openxmlformats.org/officeDocument/2006/relationships/hyperlink" Target="https://nationalcareers.service.gov.uk/careers-advice/cv-sections" TargetMode="External"/><Relationship Id="rId37" Type="http://schemas.openxmlformats.org/officeDocument/2006/relationships/hyperlink" Target="https://docs.github.com/zh/authentication/keeping-your-account-and-data-secure/removing-sensitive-data-from-a-repository" TargetMode="External"/><Relationship Id="rId36" Type="http://schemas.openxmlformats.org/officeDocument/2006/relationships/hyperlink" Target="https://docs.github.com/zh/account-and-profile/setting-up-and-managing-your-github-profile/customizing-your-profile/managing-your-profile-readme" TargetMode="External"/><Relationship Id="rId35" Type="http://schemas.openxmlformats.org/officeDocument/2006/relationships/hyperlink" Target="https://learn.microsoft.com/zh-cn/azure/well-architected/cost-optimization/principles" TargetMode="External"/><Relationship Id="rId34" Type="http://schemas.openxmlformats.org/officeDocument/2006/relationships/hyperlink" Target="https://learn.microsoft.com/zh-cn/azure/well-architected/reliability/principles" TargetMode="External"/><Relationship Id="rId33" Type="http://schemas.openxmlformats.org/officeDocument/2006/relationships/hyperlink" Target="https://docs.github.com/zh/actions/use-cases-and-examples/building-and-testing/building-and-testing-python" TargetMode="External"/><Relationship Id="rId32" Type="http://schemas.openxmlformats.org/officeDocument/2006/relationships/hyperlink" Target="https://fastapi.tiangolo.com/zh/deployment/docker/" TargetMode="External"/><Relationship Id="rId31" Type="http://schemas.openxmlformats.org/officeDocument/2006/relationships/hyperlink" Target="https://docs.docker.com/get-started/workshop/" TargetMode="External"/><Relationship Id="rId30" Type="http://schemas.openxmlformats.org/officeDocument/2006/relationships/hyperlink" Target="https://learn.microsoft.com/zh-cn/azure/well-architected/operational-excellence/principles" TargetMode="External"/><Relationship Id="rId3" Type="http://schemas.openxmlformats.org/officeDocument/2006/relationships/hyperlink" Target="https://fastapi.tiangolo.com/zh/tutorial/body/" TargetMode="External"/><Relationship Id="rId29" Type="http://schemas.openxmlformats.org/officeDocument/2006/relationships/hyperlink" Target="https://docs.python.org/zh-cn/3/howto/logging.html" TargetMode="External"/><Relationship Id="rId28" Type="http://schemas.openxmlformats.org/officeDocument/2006/relationships/hyperlink" Target="https://genai.owasp.org/llmrisk/llm062025-excessive-agency/" TargetMode="External"/><Relationship Id="rId27" Type="http://schemas.openxmlformats.org/officeDocument/2006/relationships/hyperlink" Target="https://docs.python.org/zh-cn/3/library/sqlite3.html" TargetMode="External"/><Relationship Id="rId26" Type="http://schemas.openxmlformats.org/officeDocument/2006/relationships/hyperlink" Target="https://api-docs.deepseek.com/zh-cn/guides/tool_calls" TargetMode="External"/><Relationship Id="rId25" Type="http://schemas.openxmlformats.org/officeDocument/2006/relationships/hyperlink" Target="https://docs.python.org/zh-cn/3/library/venv.html" TargetMode="External"/><Relationship Id="rId24" Type="http://schemas.openxmlformats.org/officeDocument/2006/relationships/hyperlink" Target="https://api-docs.deepseek.com/zh-cn/quick_start/pricing" TargetMode="External"/><Relationship Id="rId23" Type="http://schemas.openxmlformats.org/officeDocument/2006/relationships/hyperlink" Target="https://genai.owasp.org/llmrisk/llm01-prompt-injection/" TargetMode="External"/><Relationship Id="rId22" Type="http://schemas.openxmlformats.org/officeDocument/2006/relationships/hyperlink" Target="https://docs.pytest.org/en/stable/getting-started.html" TargetMode="External"/><Relationship Id="rId21" Type="http://schemas.openxmlformats.org/officeDocument/2006/relationships/hyperlink" Target="https://docs.streamlit.io/develop/api-reference/caching-and-state/st.session_state" TargetMode="External"/><Relationship Id="rId20" Type="http://schemas.openxmlformats.org/officeDocument/2006/relationships/hyperlink" Target="https://docs.streamlit.io/develop/tutorials/chat-and-llm-apps/build-conversational-apps" TargetMode="External"/><Relationship Id="rId2" Type="http://schemas.openxmlformats.org/officeDocument/2006/relationships/hyperlink" Target="https://fastapi.tiangolo.com/zh/tutorial/first-steps/" TargetMode="External"/><Relationship Id="rId19" Type="http://schemas.openxmlformats.org/officeDocument/2006/relationships/hyperlink" Target="https://learn.microsoft.com/zh-cn/azure/well-architected/what-is-well-architected-framework" TargetMode="External"/><Relationship Id="rId18" Type="http://schemas.openxmlformats.org/officeDocument/2006/relationships/hyperlink" Target="https://api-docs.deepseek.com/zh-cn/" TargetMode="External"/><Relationship Id="rId17" Type="http://schemas.openxmlformats.org/officeDocument/2006/relationships/hyperlink" Target="https://www.sbert.net/examples/sentence_transformer/applications/semantic-search/README.html" TargetMode="External"/><Relationship Id="rId16" Type="http://schemas.openxmlformats.org/officeDocument/2006/relationships/hyperlink" Target="https://docs.trychroma.com/docs/overview/getting-started" TargetMode="External"/><Relationship Id="rId15" Type="http://schemas.openxmlformats.org/officeDocument/2006/relationships/hyperlink" Target="https://learn.microsoft.com/zh-cn/azure/search/vector-search-how-to-chunk-documents" TargetMode="External"/><Relationship Id="rId14" Type="http://schemas.openxmlformats.org/officeDocument/2006/relationships/hyperlink" Target="https://www.sbert.net/docs/sentence_transformer/usage/semantic_textual_similarity.html" TargetMode="External"/><Relationship Id="rId13" Type="http://schemas.openxmlformats.org/officeDocument/2006/relationships/hyperlink" Target="https://docs.github.com/zh/repositories/managing-your-repositorys-settings-and-features/customizing-your-repository/about-readmes" TargetMode="External"/><Relationship Id="rId12" Type="http://schemas.openxmlformats.org/officeDocument/2006/relationships/hyperlink" Target="https://fastapi.tiangolo.com/zh/tutorial/testing/" TargetMode="External"/><Relationship Id="rId11" Type="http://schemas.openxmlformats.org/officeDocument/2006/relationships/hyperlink" Target="https://learn.microsoft.com/zh-cn/azure/search/retrieval-augmented-generation-overview" TargetMode="External"/><Relationship Id="rId10" Type="http://schemas.openxmlformats.org/officeDocument/2006/relationships/hyperlink" Target="https://learn.microsoft.com/zh-cn/training/career-paths/solution-architect" TargetMode="Externa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docs.python.org/zh-cn/3/library/venv.html" TargetMode="External"/><Relationship Id="rId8" Type="http://schemas.openxmlformats.org/officeDocument/2006/relationships/hyperlink" Target="https://pandas.pydata.org/docs/user_guide/io.html" TargetMode="External"/><Relationship Id="rId7" Type="http://schemas.openxmlformats.org/officeDocument/2006/relationships/hyperlink" Target="https://pandas.pydata.org/docs/user_guide/missing_data.html" TargetMode="External"/><Relationship Id="rId6" Type="http://schemas.openxmlformats.org/officeDocument/2006/relationships/hyperlink" Target="https://fastapi.tiangolo.com/zh/tutorial/cors/" TargetMode="External"/><Relationship Id="rId5" Type="http://schemas.openxmlformats.org/officeDocument/2006/relationships/hyperlink" Target="https://fastapi.tiangolo.com/zh/tutorial/testing/" TargetMode="External"/><Relationship Id="rId42" Type="http://schemas.openxmlformats.org/officeDocument/2006/relationships/hyperlink" Target="https://nationalcareers.service.gov.uk/careers-advice/interview-advice" TargetMode="External"/><Relationship Id="rId41" Type="http://schemas.openxmlformats.org/officeDocument/2006/relationships/hyperlink" Target="https://nationalcareers.service.gov.uk/careers-advice/cv-sections" TargetMode="External"/><Relationship Id="rId40" Type="http://schemas.openxmlformats.org/officeDocument/2006/relationships/hyperlink" Target="https://nationalcareers.service.gov.uk/careers-advice/interview-advice/the-star-method" TargetMode="External"/><Relationship Id="rId4" Type="http://schemas.openxmlformats.org/officeDocument/2006/relationships/hyperlink" Target="https://fastapi.tiangolo.com/zh/tutorial/handling-errors/" TargetMode="External"/><Relationship Id="rId39" Type="http://schemas.openxmlformats.org/officeDocument/2006/relationships/hyperlink" Target="https://learn.microsoft.com/zh-cn/azure/well-architected/operational-excellence/principles" TargetMode="External"/><Relationship Id="rId38" Type="http://schemas.openxmlformats.org/officeDocument/2006/relationships/hyperlink" Target="https://learn.microsoft.com/zh-cn/azure/well-architected/reliability/principles" TargetMode="External"/><Relationship Id="rId37" Type="http://schemas.openxmlformats.org/officeDocument/2006/relationships/hyperlink" Target="https://learn.microsoft.com/zh-cn/azure/well-architected/cost-optimization/principles" TargetMode="External"/><Relationship Id="rId36" Type="http://schemas.openxmlformats.org/officeDocument/2006/relationships/hyperlink" Target="https://learn.microsoft.com/zh-cn/training/career-paths/solution-architect" TargetMode="External"/><Relationship Id="rId35" Type="http://schemas.openxmlformats.org/officeDocument/2006/relationships/hyperlink" Target="https://learn.microsoft.com/zh-cn/azure/well-architected/what-is-well-architected-framework" TargetMode="External"/><Relationship Id="rId34" Type="http://schemas.openxmlformats.org/officeDocument/2006/relationships/hyperlink" Target="https://docs.github.com/zh/authentication/keeping-your-account-and-data-secure/removing-sensitive-data-from-a-repository" TargetMode="External"/><Relationship Id="rId33" Type="http://schemas.openxmlformats.org/officeDocument/2006/relationships/hyperlink" Target="https://docs.github.com/zh/account-and-profile/setting-up-and-managing-your-github-profile/customizing-your-profile/managing-your-profile-readme" TargetMode="External"/><Relationship Id="rId32" Type="http://schemas.openxmlformats.org/officeDocument/2006/relationships/hyperlink" Target="https://docs.github.com/zh/repositories/managing-your-repositorys-settings-and-features/customizing-your-repository/about-readmes" TargetMode="External"/><Relationship Id="rId31" Type="http://schemas.openxmlformats.org/officeDocument/2006/relationships/hyperlink" Target="https://docs.github.com/zh/actions/use-cases-and-examples/building-and-testing/building-and-testing-python" TargetMode="External"/><Relationship Id="rId30" Type="http://schemas.openxmlformats.org/officeDocument/2006/relationships/hyperlink" Target="https://fastapi.tiangolo.com/zh/deployment/docker/" TargetMode="External"/><Relationship Id="rId3" Type="http://schemas.openxmlformats.org/officeDocument/2006/relationships/hyperlink" Target="https://fastapi.tiangolo.com/zh/tutorial/body/" TargetMode="External"/><Relationship Id="rId29" Type="http://schemas.openxmlformats.org/officeDocument/2006/relationships/hyperlink" Target="https://docs.docker.com/get-started/workshop/" TargetMode="External"/><Relationship Id="rId28" Type="http://schemas.openxmlformats.org/officeDocument/2006/relationships/hyperlink" Target="https://genai.owasp.org/llmrisk/llm062025-excessive-agency/" TargetMode="External"/><Relationship Id="rId27" Type="http://schemas.openxmlformats.org/officeDocument/2006/relationships/hyperlink" Target="https://genai.owasp.org/llmrisk/llm01-prompt-injection/" TargetMode="External"/><Relationship Id="rId26" Type="http://schemas.openxmlformats.org/officeDocument/2006/relationships/hyperlink" Target="https://docs.pytest.org/en/stable/getting-started.html" TargetMode="External"/><Relationship Id="rId25" Type="http://schemas.openxmlformats.org/officeDocument/2006/relationships/hyperlink" Target="https://docs.streamlit.io/develop/concepts/architecture/caching" TargetMode="External"/><Relationship Id="rId24" Type="http://schemas.openxmlformats.org/officeDocument/2006/relationships/hyperlink" Target="https://docs.streamlit.io/develop/api-reference/caching-and-state/st.session_state" TargetMode="External"/><Relationship Id="rId23" Type="http://schemas.openxmlformats.org/officeDocument/2006/relationships/hyperlink" Target="https://docs.streamlit.io/develop/tutorials/chat-and-llm-apps/build-conversational-apps" TargetMode="External"/><Relationship Id="rId22" Type="http://schemas.openxmlformats.org/officeDocument/2006/relationships/hyperlink" Target="https://learn.microsoft.com/zh-cn/azure/search/retrieval-augmented-generation-overview" TargetMode="External"/><Relationship Id="rId21" Type="http://schemas.openxmlformats.org/officeDocument/2006/relationships/hyperlink" Target="https://docs.trychroma.com/docs/overview/getting-started" TargetMode="External"/><Relationship Id="rId20" Type="http://schemas.openxmlformats.org/officeDocument/2006/relationships/hyperlink" Target="https://learn.microsoft.com/zh-cn/azure/search/vector-search-how-to-chunk-documents" TargetMode="External"/><Relationship Id="rId2" Type="http://schemas.openxmlformats.org/officeDocument/2006/relationships/hyperlink" Target="https://fastapi.tiangolo.com/zh/tutorial/first-steps/" TargetMode="External"/><Relationship Id="rId19" Type="http://schemas.openxmlformats.org/officeDocument/2006/relationships/hyperlink" Target="https://www.sbert.net/examples/sentence_transformer/applications/semantic-search/README.html" TargetMode="External"/><Relationship Id="rId18" Type="http://schemas.openxmlformats.org/officeDocument/2006/relationships/hyperlink" Target="https://www.sbert.net/docs/sentence_transformer/usage/semantic_textual_similarity.html" TargetMode="External"/><Relationship Id="rId17" Type="http://schemas.openxmlformats.org/officeDocument/2006/relationships/hyperlink" Target="https://api-docs.deepseek.com/zh-cn/quick_start/pricing" TargetMode="External"/><Relationship Id="rId16" Type="http://schemas.openxmlformats.org/officeDocument/2006/relationships/hyperlink" Target="https://api-docs.deepseek.com/zh-cn/guides/tool_calls" TargetMode="External"/><Relationship Id="rId15" Type="http://schemas.openxmlformats.org/officeDocument/2006/relationships/hyperlink" Target="https://api-docs.deepseek.com/zh-cn/guides/json_mode" TargetMode="External"/><Relationship Id="rId14" Type="http://schemas.openxmlformats.org/officeDocument/2006/relationships/hyperlink" Target="https://api-docs.deepseek.com/zh-cn/quick_start/error_codes" TargetMode="External"/><Relationship Id="rId13" Type="http://schemas.openxmlformats.org/officeDocument/2006/relationships/hyperlink" Target="https://api-docs.deepseek.com/zh-cn/api/create-chat-completion" TargetMode="External"/><Relationship Id="rId12" Type="http://schemas.openxmlformats.org/officeDocument/2006/relationships/hyperlink" Target="https://api-docs.deepseek.com/zh-cn/" TargetMode="External"/><Relationship Id="rId11" Type="http://schemas.openxmlformats.org/officeDocument/2006/relationships/hyperlink" Target="https://docs.python.org/zh-cn/3/library/sqlite3.html" TargetMode="External"/><Relationship Id="rId10" Type="http://schemas.openxmlformats.org/officeDocument/2006/relationships/hyperlink" Target="https://docs.python.org/zh-cn/3/howto/logging.html" TargetMode="Externa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5466A"/>
  </sheetPr>
  <dimension ref="A1:H40"/>
  <sheetViews>
    <sheetView showGridLines="0" workbookViewId="0">
      <selection activeCell="F12" sqref="F12"/>
    </sheetView>
  </sheetViews>
  <sheetFormatPr defaultColWidth="9" defaultRowHeight="14" outlineLevelCol="7"/>
  <cols>
    <col min="1" max="1" width="12" customWidth="1"/>
    <col min="2" max="2" width="38" customWidth="1"/>
    <col min="3" max="5" width="12" customWidth="1"/>
    <col min="6" max="6" width="13" customWidth="1"/>
    <col min="7" max="7" width="49" customWidth="1"/>
    <col min="8" max="8" width="14" customWidth="1"/>
  </cols>
  <sheetData>
    <row r="1" ht="16.5" spans="1:8">
      <c r="A1" s="1"/>
      <c r="B1" s="1"/>
      <c r="C1" s="1"/>
      <c r="D1" s="1"/>
      <c r="E1" s="1"/>
      <c r="F1" s="1"/>
      <c r="G1" s="1"/>
      <c r="H1" s="1"/>
    </row>
    <row r="2" ht="32" customHeight="1" spans="1:8">
      <c r="A2" s="2" t="s">
        <v>0</v>
      </c>
      <c r="B2" s="1"/>
      <c r="C2" s="1"/>
      <c r="D2" s="1"/>
      <c r="E2" s="1"/>
      <c r="F2" s="1"/>
      <c r="G2" s="1"/>
      <c r="H2" s="1"/>
    </row>
    <row r="3" ht="16.5" spans="1:8">
      <c r="A3" s="3" t="s">
        <v>1</v>
      </c>
      <c r="B3" s="4"/>
      <c r="C3" s="4"/>
      <c r="D3" s="4"/>
      <c r="E3" s="4"/>
      <c r="F3" s="4"/>
      <c r="G3" s="4"/>
      <c r="H3" s="4"/>
    </row>
    <row r="4" ht="16.5" spans="1:8">
      <c r="A4" s="22" t="s">
        <v>2</v>
      </c>
      <c r="B4" s="1"/>
      <c r="C4" s="1"/>
      <c r="D4" s="1"/>
      <c r="E4" s="1"/>
      <c r="F4" s="1"/>
      <c r="G4" s="1"/>
      <c r="H4" s="1"/>
    </row>
    <row r="5" ht="30" customHeight="1" spans="1:8">
      <c r="A5" s="23" t="s">
        <v>3</v>
      </c>
      <c r="B5" s="24">
        <f>COUNTA(每日清单!$A$6:$A$75)</f>
        <v>70</v>
      </c>
      <c r="C5" s="23" t="s">
        <v>4</v>
      </c>
      <c r="D5" s="24">
        <f>COUNTIFS(每日清单!$H$6:$H$75,"已完成")</f>
        <v>0</v>
      </c>
      <c r="E5" s="23" t="s">
        <v>5</v>
      </c>
      <c r="F5" s="24">
        <f>COUNTIFS(每日清单!$H$6:$H$75,"进行中")</f>
        <v>0</v>
      </c>
      <c r="G5" s="23" t="s">
        <v>6</v>
      </c>
      <c r="H5" s="25">
        <f>D5/B5</f>
        <v>0</v>
      </c>
    </row>
    <row r="6" ht="30" customHeight="1" spans="1:8">
      <c r="A6" s="23" t="s">
        <v>7</v>
      </c>
      <c r="B6" s="26">
        <f>SUM(每日清单!$L$6:$L$75)</f>
        <v>236.25</v>
      </c>
      <c r="C6" s="23" t="s">
        <v>8</v>
      </c>
      <c r="D6" s="26">
        <f>SUM(每日清单!$Q$6:$Q$75)</f>
        <v>0</v>
      </c>
      <c r="E6" s="23" t="s">
        <v>9</v>
      </c>
      <c r="F6" s="24">
        <f>COUNTIFS(每日清单!$H$6:$H$75,"未开始")</f>
        <v>70</v>
      </c>
      <c r="G6" s="23" t="s">
        <v>10</v>
      </c>
      <c r="H6" s="27">
        <f>MAX(每日清单!$K$6:$K$75)</f>
        <v>46370</v>
      </c>
    </row>
    <row r="7" ht="16.5" spans="1:8">
      <c r="A7" s="1"/>
      <c r="B7" s="1"/>
      <c r="C7" s="1"/>
      <c r="D7" s="1"/>
      <c r="E7" s="1"/>
      <c r="F7" s="1"/>
      <c r="G7" s="1"/>
      <c r="H7" s="1"/>
    </row>
    <row r="8" ht="16.5" spans="1:8">
      <c r="A8" s="28" t="s">
        <v>11</v>
      </c>
      <c r="B8" s="1" t="s">
        <v>12</v>
      </c>
      <c r="C8" s="1"/>
      <c r="D8" s="1"/>
      <c r="E8" s="1"/>
      <c r="F8" s="1"/>
      <c r="G8" s="1"/>
      <c r="H8" s="1"/>
    </row>
    <row r="9" ht="16.5" spans="1:8">
      <c r="A9" s="28" t="s">
        <v>13</v>
      </c>
      <c r="B9" s="1" t="s">
        <v>14</v>
      </c>
      <c r="C9" s="1"/>
      <c r="D9" s="1"/>
      <c r="E9" s="1"/>
      <c r="F9" s="1"/>
      <c r="G9" s="1"/>
      <c r="H9" s="1"/>
    </row>
    <row r="10" ht="16.5" spans="1:8">
      <c r="A10" s="1"/>
      <c r="B10" s="1"/>
      <c r="C10" s="1"/>
      <c r="D10" s="1"/>
      <c r="E10" s="1"/>
      <c r="F10" s="1"/>
      <c r="G10" s="1"/>
      <c r="H10" s="1"/>
    </row>
    <row r="11" ht="32" customHeight="1" spans="1:8">
      <c r="A11" s="5" t="s">
        <v>15</v>
      </c>
      <c r="B11" s="6" t="s">
        <v>16</v>
      </c>
      <c r="C11" s="6" t="s">
        <v>3</v>
      </c>
      <c r="D11" s="6" t="s">
        <v>4</v>
      </c>
      <c r="E11" s="6" t="s">
        <v>5</v>
      </c>
      <c r="F11" s="6" t="s">
        <v>6</v>
      </c>
      <c r="G11" s="6" t="s">
        <v>17</v>
      </c>
      <c r="H11" s="7" t="s">
        <v>18</v>
      </c>
    </row>
    <row r="12" ht="58" customHeight="1" spans="1:8">
      <c r="A12" s="29">
        <v>1</v>
      </c>
      <c r="B12" s="30" t="s">
        <v>19</v>
      </c>
      <c r="C12" s="29">
        <f>COUNTIFS(每日清单!$B$6:$B$75,$A12)</f>
        <v>7</v>
      </c>
      <c r="D12" s="29">
        <f>COUNTIFS(每日清单!$B$6:$B$75,$A12,每日清单!$H$6:$H$75,"已完成")</f>
        <v>0</v>
      </c>
      <c r="E12" s="29">
        <f>COUNTIFS(每日清单!$B$6:$B$75,$A12,每日清单!$H$6:$H$75,"进行中")</f>
        <v>0</v>
      </c>
      <c r="F12" s="31">
        <f t="shared" ref="F12:F21" si="0">D12/C12</f>
        <v>0</v>
      </c>
      <c r="G12" s="30" t="s">
        <v>20</v>
      </c>
      <c r="H12" s="30" t="s">
        <v>21</v>
      </c>
    </row>
    <row r="13" ht="58" customHeight="1" spans="1:8">
      <c r="A13" s="32">
        <v>2</v>
      </c>
      <c r="B13" s="33" t="s">
        <v>22</v>
      </c>
      <c r="C13" s="32">
        <f>COUNTIFS(每日清单!$B$6:$B$75,$A13)</f>
        <v>7</v>
      </c>
      <c r="D13" s="32">
        <f>COUNTIFS(每日清单!$B$6:$B$75,$A13,每日清单!$H$6:$H$75,"已完成")</f>
        <v>0</v>
      </c>
      <c r="E13" s="32">
        <f>COUNTIFS(每日清单!$B$6:$B$75,$A13,每日清单!$H$6:$H$75,"进行中")</f>
        <v>0</v>
      </c>
      <c r="F13" s="34">
        <f t="shared" si="0"/>
        <v>0</v>
      </c>
      <c r="G13" s="33" t="s">
        <v>23</v>
      </c>
      <c r="H13" s="33" t="s">
        <v>24</v>
      </c>
    </row>
    <row r="14" ht="58" customHeight="1" spans="1:8">
      <c r="A14" s="29">
        <v>3</v>
      </c>
      <c r="B14" s="30" t="s">
        <v>25</v>
      </c>
      <c r="C14" s="29">
        <f>COUNTIFS(每日清单!$B$6:$B$75,$A14)</f>
        <v>7</v>
      </c>
      <c r="D14" s="29">
        <f>COUNTIFS(每日清单!$B$6:$B$75,$A14,每日清单!$H$6:$H$75,"已完成")</f>
        <v>0</v>
      </c>
      <c r="E14" s="29">
        <f>COUNTIFS(每日清单!$B$6:$B$75,$A14,每日清单!$H$6:$H$75,"进行中")</f>
        <v>0</v>
      </c>
      <c r="F14" s="31">
        <f t="shared" si="0"/>
        <v>0</v>
      </c>
      <c r="G14" s="30" t="s">
        <v>26</v>
      </c>
      <c r="H14" s="30" t="s">
        <v>27</v>
      </c>
    </row>
    <row r="15" ht="63" customHeight="1" spans="1:8">
      <c r="A15" s="32">
        <v>4</v>
      </c>
      <c r="B15" s="33" t="s">
        <v>28</v>
      </c>
      <c r="C15" s="32">
        <f>COUNTIFS(每日清单!$B$6:$B$75,$A15)</f>
        <v>7</v>
      </c>
      <c r="D15" s="32">
        <f>COUNTIFS(每日清单!$B$6:$B$75,$A15,每日清单!$H$6:$H$75,"已完成")</f>
        <v>0</v>
      </c>
      <c r="E15" s="32">
        <f>COUNTIFS(每日清单!$B$6:$B$75,$A15,每日清单!$H$6:$H$75,"进行中")</f>
        <v>0</v>
      </c>
      <c r="F15" s="34">
        <f t="shared" si="0"/>
        <v>0</v>
      </c>
      <c r="G15" s="33" t="s">
        <v>29</v>
      </c>
      <c r="H15" s="33" t="s">
        <v>30</v>
      </c>
    </row>
    <row r="16" ht="58" customHeight="1" spans="1:8">
      <c r="A16" s="29">
        <v>5</v>
      </c>
      <c r="B16" s="30" t="s">
        <v>31</v>
      </c>
      <c r="C16" s="29">
        <f>COUNTIFS(每日清单!$B$6:$B$75,$A16)</f>
        <v>7</v>
      </c>
      <c r="D16" s="29">
        <f>COUNTIFS(每日清单!$B$6:$B$75,$A16,每日清单!$H$6:$H$75,"已完成")</f>
        <v>0</v>
      </c>
      <c r="E16" s="29">
        <f>COUNTIFS(每日清单!$B$6:$B$75,$A16,每日清单!$H$6:$H$75,"进行中")</f>
        <v>0</v>
      </c>
      <c r="F16" s="31">
        <f t="shared" si="0"/>
        <v>0</v>
      </c>
      <c r="G16" s="30" t="s">
        <v>32</v>
      </c>
      <c r="H16" s="30" t="s">
        <v>33</v>
      </c>
    </row>
    <row r="17" ht="58" customHeight="1" spans="1:8">
      <c r="A17" s="32">
        <v>6</v>
      </c>
      <c r="B17" s="33" t="s">
        <v>34</v>
      </c>
      <c r="C17" s="32">
        <f>COUNTIFS(每日清单!$B$6:$B$75,$A17)</f>
        <v>7</v>
      </c>
      <c r="D17" s="32">
        <f>COUNTIFS(每日清单!$B$6:$B$75,$A17,每日清单!$H$6:$H$75,"已完成")</f>
        <v>0</v>
      </c>
      <c r="E17" s="32">
        <f>COUNTIFS(每日清单!$B$6:$B$75,$A17,每日清单!$H$6:$H$75,"进行中")</f>
        <v>0</v>
      </c>
      <c r="F17" s="34">
        <f t="shared" si="0"/>
        <v>0</v>
      </c>
      <c r="G17" s="33" t="s">
        <v>35</v>
      </c>
      <c r="H17" s="33" t="s">
        <v>36</v>
      </c>
    </row>
    <row r="18" ht="58" customHeight="1" spans="1:8">
      <c r="A18" s="29">
        <v>7</v>
      </c>
      <c r="B18" s="30" t="s">
        <v>37</v>
      </c>
      <c r="C18" s="29">
        <f>COUNTIFS(每日清单!$B$6:$B$75,$A18)</f>
        <v>7</v>
      </c>
      <c r="D18" s="29">
        <f>COUNTIFS(每日清单!$B$6:$B$75,$A18,每日清单!$H$6:$H$75,"已完成")</f>
        <v>0</v>
      </c>
      <c r="E18" s="29">
        <f>COUNTIFS(每日清单!$B$6:$B$75,$A18,每日清单!$H$6:$H$75,"进行中")</f>
        <v>0</v>
      </c>
      <c r="F18" s="31">
        <f t="shared" si="0"/>
        <v>0</v>
      </c>
      <c r="G18" s="30" t="s">
        <v>38</v>
      </c>
      <c r="H18" s="30" t="s">
        <v>39</v>
      </c>
    </row>
    <row r="19" ht="58" customHeight="1" spans="1:8">
      <c r="A19" s="32">
        <v>8</v>
      </c>
      <c r="B19" s="33" t="s">
        <v>40</v>
      </c>
      <c r="C19" s="32">
        <f>COUNTIFS(每日清单!$B$6:$B$75,$A19)</f>
        <v>7</v>
      </c>
      <c r="D19" s="32">
        <f>COUNTIFS(每日清单!$B$6:$B$75,$A19,每日清单!$H$6:$H$75,"已完成")</f>
        <v>0</v>
      </c>
      <c r="E19" s="32">
        <f>COUNTIFS(每日清单!$B$6:$B$75,$A19,每日清单!$H$6:$H$75,"进行中")</f>
        <v>0</v>
      </c>
      <c r="F19" s="34">
        <f t="shared" si="0"/>
        <v>0</v>
      </c>
      <c r="G19" s="33" t="s">
        <v>41</v>
      </c>
      <c r="H19" s="33" t="s">
        <v>42</v>
      </c>
    </row>
    <row r="20" ht="58" customHeight="1" spans="1:8">
      <c r="A20" s="29">
        <v>9</v>
      </c>
      <c r="B20" s="30" t="s">
        <v>43</v>
      </c>
      <c r="C20" s="29">
        <f>COUNTIFS(每日清单!$B$6:$B$75,$A20)</f>
        <v>7</v>
      </c>
      <c r="D20" s="29">
        <f>COUNTIFS(每日清单!$B$6:$B$75,$A20,每日清单!$H$6:$H$75,"已完成")</f>
        <v>0</v>
      </c>
      <c r="E20" s="29">
        <f>COUNTIFS(每日清单!$B$6:$B$75,$A20,每日清单!$H$6:$H$75,"进行中")</f>
        <v>0</v>
      </c>
      <c r="F20" s="31">
        <f t="shared" si="0"/>
        <v>0</v>
      </c>
      <c r="G20" s="30" t="s">
        <v>44</v>
      </c>
      <c r="H20" s="30" t="s">
        <v>45</v>
      </c>
    </row>
    <row r="21" ht="58" customHeight="1" spans="1:8">
      <c r="A21" s="32">
        <v>10</v>
      </c>
      <c r="B21" s="33" t="s">
        <v>46</v>
      </c>
      <c r="C21" s="32">
        <f>COUNTIFS(每日清单!$B$6:$B$75,$A21)</f>
        <v>7</v>
      </c>
      <c r="D21" s="32">
        <f>COUNTIFS(每日清单!$B$6:$B$75,$A21,每日清单!$H$6:$H$75,"已完成")</f>
        <v>0</v>
      </c>
      <c r="E21" s="32">
        <f>COUNTIFS(每日清单!$B$6:$B$75,$A21,每日清单!$H$6:$H$75,"进行中")</f>
        <v>0</v>
      </c>
      <c r="F21" s="34">
        <f t="shared" si="0"/>
        <v>0</v>
      </c>
      <c r="G21" s="33" t="s">
        <v>47</v>
      </c>
      <c r="H21" s="33" t="s">
        <v>48</v>
      </c>
    </row>
    <row r="22" ht="16.5" spans="1:8">
      <c r="A22" s="1"/>
      <c r="B22" s="1"/>
      <c r="C22" s="1"/>
      <c r="D22" s="1"/>
      <c r="E22" s="1"/>
      <c r="F22" s="1"/>
      <c r="G22" s="1"/>
      <c r="H22" s="1"/>
    </row>
    <row r="23" ht="16.5" spans="1:8">
      <c r="A23" s="1"/>
      <c r="B23" s="1"/>
      <c r="C23" s="1"/>
      <c r="D23" s="1"/>
      <c r="E23" s="1"/>
      <c r="F23" s="1"/>
      <c r="G23" s="1"/>
      <c r="H23" s="1"/>
    </row>
    <row r="24" ht="27" customHeight="1" spans="1:8">
      <c r="A24" s="28" t="s">
        <v>49</v>
      </c>
      <c r="B24" s="1"/>
      <c r="C24" s="1"/>
      <c r="D24" s="1"/>
      <c r="E24" s="1"/>
      <c r="F24" s="1"/>
      <c r="G24" s="1"/>
      <c r="H24" s="1"/>
    </row>
    <row r="25" ht="27" customHeight="1" spans="1:8">
      <c r="A25" s="1" t="s">
        <v>50</v>
      </c>
      <c r="B25" s="1" t="s">
        <v>51</v>
      </c>
      <c r="C25" s="1"/>
      <c r="D25" s="1"/>
      <c r="E25" s="1"/>
      <c r="F25" s="1"/>
      <c r="G25" s="1"/>
      <c r="H25" s="1"/>
    </row>
    <row r="26" ht="27" customHeight="1" spans="1:8">
      <c r="A26" s="1" t="s">
        <v>52</v>
      </c>
      <c r="B26" s="1" t="s">
        <v>53</v>
      </c>
      <c r="C26" s="1"/>
      <c r="D26" s="1"/>
      <c r="E26" s="1"/>
      <c r="F26" s="1"/>
      <c r="G26" s="1"/>
      <c r="H26" s="1"/>
    </row>
    <row r="27" ht="27" customHeight="1" spans="1:8">
      <c r="A27" s="1" t="s">
        <v>54</v>
      </c>
      <c r="B27" s="1" t="s">
        <v>55</v>
      </c>
      <c r="C27" s="1"/>
      <c r="D27" s="1"/>
      <c r="E27" s="1"/>
      <c r="F27" s="1"/>
      <c r="G27" s="1"/>
      <c r="H27" s="1"/>
    </row>
    <row r="28" ht="27" customHeight="1" spans="1:8">
      <c r="A28" s="1"/>
      <c r="B28" s="1"/>
      <c r="C28" s="1"/>
      <c r="D28" s="1"/>
      <c r="E28" s="1"/>
      <c r="F28" s="1"/>
      <c r="G28" s="1"/>
      <c r="H28" s="1"/>
    </row>
    <row r="29" ht="27" customHeight="1" spans="1:8">
      <c r="A29" s="28" t="s">
        <v>56</v>
      </c>
      <c r="B29" s="1" t="s">
        <v>57</v>
      </c>
      <c r="C29" s="1"/>
      <c r="D29" s="1"/>
      <c r="E29" s="1"/>
      <c r="F29" s="1"/>
      <c r="G29" s="1"/>
      <c r="H29" s="1"/>
    </row>
    <row r="30" ht="27" customHeight="1" spans="1:8">
      <c r="A30" s="1"/>
      <c r="B30" s="1" t="s">
        <v>58</v>
      </c>
      <c r="C30" s="1"/>
      <c r="D30" s="1"/>
      <c r="E30" s="1"/>
      <c r="F30" s="1"/>
      <c r="G30" s="1"/>
      <c r="H30" s="1"/>
    </row>
    <row r="31" ht="27" customHeight="1" spans="1:8">
      <c r="A31" s="1"/>
      <c r="B31" s="1" t="s">
        <v>59</v>
      </c>
      <c r="C31" s="1"/>
      <c r="D31" s="1"/>
      <c r="E31" s="1"/>
      <c r="F31" s="1"/>
      <c r="G31" s="1"/>
      <c r="H31" s="1"/>
    </row>
    <row r="32" ht="27" customHeight="1" spans="1:8">
      <c r="A32" s="1"/>
      <c r="B32" s="1" t="s">
        <v>60</v>
      </c>
      <c r="C32" s="1"/>
      <c r="D32" s="1"/>
      <c r="E32" s="1"/>
      <c r="F32" s="1"/>
      <c r="G32" s="1"/>
      <c r="H32" s="1"/>
    </row>
    <row r="33" ht="16.5" spans="1:8">
      <c r="A33" s="1"/>
      <c r="B33" s="1"/>
      <c r="C33" s="1"/>
      <c r="D33" s="1"/>
      <c r="E33" s="1"/>
      <c r="F33" s="1"/>
      <c r="G33" s="1"/>
      <c r="H33" s="1"/>
    </row>
    <row r="34" ht="16.5" spans="1:8">
      <c r="A34" s="1"/>
      <c r="B34" s="1"/>
      <c r="C34" s="1"/>
      <c r="D34" s="1"/>
      <c r="E34" s="1"/>
      <c r="F34" s="1"/>
      <c r="G34" s="1"/>
      <c r="H34" s="1"/>
    </row>
    <row r="35" ht="16.5" spans="1:8">
      <c r="A35" s="1"/>
      <c r="B35" s="1"/>
      <c r="C35" s="1"/>
      <c r="D35" s="1"/>
      <c r="E35" s="1"/>
      <c r="F35" s="1"/>
      <c r="G35" s="1"/>
      <c r="H35" s="1"/>
    </row>
    <row r="36" ht="16.5" spans="1:8">
      <c r="A36" s="1"/>
      <c r="B36" s="1"/>
      <c r="C36" s="1"/>
      <c r="D36" s="1"/>
      <c r="E36" s="1"/>
      <c r="F36" s="1"/>
      <c r="G36" s="1"/>
      <c r="H36" s="1"/>
    </row>
    <row r="37" ht="16.5" spans="1:8">
      <c r="A37" s="1"/>
      <c r="B37" s="1"/>
      <c r="C37" s="1"/>
      <c r="D37" s="1"/>
      <c r="E37" s="1"/>
      <c r="F37" s="1"/>
      <c r="G37" s="1"/>
      <c r="H37" s="1"/>
    </row>
    <row r="38" ht="16.5" spans="1:8">
      <c r="A38" s="1"/>
      <c r="B38" s="1"/>
      <c r="C38" s="1"/>
      <c r="D38" s="1"/>
      <c r="E38" s="1"/>
      <c r="F38" s="1"/>
      <c r="G38" s="1"/>
      <c r="H38" s="1"/>
    </row>
    <row r="39" ht="16.5" spans="1:8">
      <c r="A39" s="1"/>
      <c r="B39" s="1"/>
      <c r="C39" s="1"/>
      <c r="D39" s="1"/>
      <c r="E39" s="1"/>
      <c r="F39" s="1"/>
      <c r="G39" s="1"/>
      <c r="H39" s="1"/>
    </row>
    <row r="40" ht="16.5" spans="1:8">
      <c r="A40" s="1"/>
      <c r="B40" s="1"/>
      <c r="C40" s="1"/>
      <c r="D40" s="1"/>
      <c r="E40" s="1"/>
      <c r="F40" s="1"/>
      <c r="G40" s="1"/>
      <c r="H40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5466A"/>
  </sheetPr>
  <dimension ref="A1:Q75"/>
  <sheetViews>
    <sheetView showGridLines="0" tabSelected="1" zoomScale="85" zoomScaleNormal="85" workbookViewId="0">
      <pane xSplit="1" ySplit="5" topLeftCell="B6" activePane="bottomRight" state="frozen"/>
      <selection/>
      <selection pane="topRight"/>
      <selection pane="bottomLeft"/>
      <selection pane="bottomRight" activeCell="M6" sqref="M6"/>
    </sheetView>
  </sheetViews>
  <sheetFormatPr defaultColWidth="9" defaultRowHeight="14"/>
  <cols>
    <col min="1" max="1" width="9" customWidth="1"/>
    <col min="2" max="2" width="7" customWidth="1"/>
    <col min="3" max="3" width="17" customWidth="1"/>
    <col min="4" max="4" width="24" customWidth="1"/>
    <col min="5" max="5" width="48" customWidth="1"/>
    <col min="6" max="6" width="30" customWidth="1"/>
    <col min="7" max="7" width="48" customWidth="1"/>
    <col min="8" max="8" width="12" customWidth="1"/>
    <col min="9" max="9" width="13" customWidth="1"/>
    <col min="10" max="10" width="30" customWidth="1"/>
    <col min="11" max="11" width="13" customWidth="1"/>
    <col min="12" max="12" width="11" customWidth="1"/>
    <col min="13" max="14" width="23" customWidth="1"/>
    <col min="15" max="15" width="30" customWidth="1"/>
    <col min="16" max="16" width="22" customWidth="1"/>
    <col min="17" max="17" width="11" customWidth="1"/>
  </cols>
  <sheetData>
    <row r="1" ht="16.5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2" customHeight="1" spans="1:17">
      <c r="A2" s="2" t="s">
        <v>61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16.5" spans="1:17">
      <c r="A3" s="3" t="s">
        <v>62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ht="16.5" spans="1:1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32" customHeight="1" spans="1:17">
      <c r="A5" s="5" t="s">
        <v>63</v>
      </c>
      <c r="B5" s="6" t="s">
        <v>15</v>
      </c>
      <c r="C5" s="6" t="s">
        <v>64</v>
      </c>
      <c r="D5" s="6" t="s">
        <v>65</v>
      </c>
      <c r="E5" s="6" t="s">
        <v>66</v>
      </c>
      <c r="F5" s="6" t="s">
        <v>67</v>
      </c>
      <c r="G5" s="6" t="s">
        <v>68</v>
      </c>
      <c r="H5" s="6" t="s">
        <v>69</v>
      </c>
      <c r="I5" s="6" t="s">
        <v>70</v>
      </c>
      <c r="J5" s="6" t="s">
        <v>71</v>
      </c>
      <c r="K5" s="6" t="s">
        <v>72</v>
      </c>
      <c r="L5" s="6" t="s">
        <v>7</v>
      </c>
      <c r="M5" s="6" t="s">
        <v>73</v>
      </c>
      <c r="N5" s="6" t="s">
        <v>74</v>
      </c>
      <c r="O5" s="6" t="s">
        <v>75</v>
      </c>
      <c r="P5" s="6" t="s">
        <v>76</v>
      </c>
      <c r="Q5" s="7" t="s">
        <v>8</v>
      </c>
    </row>
    <row r="6" ht="167" customHeight="1" spans="1:17">
      <c r="A6" s="12" t="s">
        <v>77</v>
      </c>
      <c r="B6" s="12">
        <v>1</v>
      </c>
      <c r="C6" s="8" t="s">
        <v>78</v>
      </c>
      <c r="D6" s="8" t="s">
        <v>79</v>
      </c>
      <c r="E6" s="8" t="s">
        <v>80</v>
      </c>
      <c r="F6" s="8" t="s">
        <v>81</v>
      </c>
      <c r="G6" s="8" t="s">
        <v>82</v>
      </c>
      <c r="H6" s="13" t="s">
        <v>9</v>
      </c>
      <c r="I6" s="14"/>
      <c r="J6" s="15" t="s">
        <v>83</v>
      </c>
      <c r="K6" s="16">
        <v>46301</v>
      </c>
      <c r="L6" s="17">
        <v>3.5</v>
      </c>
      <c r="M6" s="9" t="s">
        <v>84</v>
      </c>
      <c r="N6" s="9" t="s">
        <v>85</v>
      </c>
      <c r="O6" s="15" t="s">
        <v>83</v>
      </c>
      <c r="P6" s="8" t="s">
        <v>86</v>
      </c>
      <c r="Q6" s="18"/>
    </row>
    <row r="7" ht="133" customHeight="1" spans="1:17">
      <c r="A7" s="19" t="s">
        <v>87</v>
      </c>
      <c r="B7" s="19">
        <v>1</v>
      </c>
      <c r="C7" s="10" t="s">
        <v>78</v>
      </c>
      <c r="D7" s="10" t="s">
        <v>88</v>
      </c>
      <c r="E7" s="10" t="s">
        <v>89</v>
      </c>
      <c r="F7" s="10" t="s">
        <v>90</v>
      </c>
      <c r="G7" s="10" t="s">
        <v>91</v>
      </c>
      <c r="H7" s="13" t="s">
        <v>9</v>
      </c>
      <c r="I7" s="14"/>
      <c r="J7" s="15" t="s">
        <v>83</v>
      </c>
      <c r="K7" s="20">
        <v>46302</v>
      </c>
      <c r="L7" s="21">
        <v>3.5</v>
      </c>
      <c r="M7" s="11" t="s">
        <v>92</v>
      </c>
      <c r="N7" s="11" t="s">
        <v>93</v>
      </c>
      <c r="O7" s="15" t="s">
        <v>83</v>
      </c>
      <c r="P7" s="10" t="s">
        <v>94</v>
      </c>
      <c r="Q7" s="18"/>
    </row>
    <row r="8" ht="104" customHeight="1" spans="1:17">
      <c r="A8" s="12" t="s">
        <v>95</v>
      </c>
      <c r="B8" s="12">
        <v>1</v>
      </c>
      <c r="C8" s="8" t="s">
        <v>78</v>
      </c>
      <c r="D8" s="8" t="s">
        <v>96</v>
      </c>
      <c r="E8" s="8" t="s">
        <v>97</v>
      </c>
      <c r="F8" s="8" t="s">
        <v>98</v>
      </c>
      <c r="G8" s="8" t="s">
        <v>99</v>
      </c>
      <c r="H8" s="13" t="s">
        <v>9</v>
      </c>
      <c r="I8" s="14"/>
      <c r="J8" s="15" t="s">
        <v>83</v>
      </c>
      <c r="K8" s="16">
        <v>46303</v>
      </c>
      <c r="L8" s="17">
        <v>3.5</v>
      </c>
      <c r="M8" s="9" t="s">
        <v>85</v>
      </c>
      <c r="N8" s="9" t="s">
        <v>100</v>
      </c>
      <c r="O8" s="15" t="s">
        <v>83</v>
      </c>
      <c r="P8" s="8" t="s">
        <v>101</v>
      </c>
      <c r="Q8" s="18"/>
    </row>
    <row r="9" ht="133" customHeight="1" spans="1:17">
      <c r="A9" s="19" t="s">
        <v>102</v>
      </c>
      <c r="B9" s="19">
        <v>1</v>
      </c>
      <c r="C9" s="10" t="s">
        <v>78</v>
      </c>
      <c r="D9" s="10" t="s">
        <v>103</v>
      </c>
      <c r="E9" s="10" t="s">
        <v>104</v>
      </c>
      <c r="F9" s="10" t="s">
        <v>105</v>
      </c>
      <c r="G9" s="10" t="s">
        <v>106</v>
      </c>
      <c r="H9" s="13" t="s">
        <v>9</v>
      </c>
      <c r="I9" s="14"/>
      <c r="J9" s="15" t="s">
        <v>83</v>
      </c>
      <c r="K9" s="20">
        <v>46304</v>
      </c>
      <c r="L9" s="21">
        <v>3.5</v>
      </c>
      <c r="M9" s="11" t="s">
        <v>107</v>
      </c>
      <c r="N9" s="11" t="s">
        <v>108</v>
      </c>
      <c r="O9" s="15" t="s">
        <v>83</v>
      </c>
      <c r="P9" s="10" t="s">
        <v>109</v>
      </c>
      <c r="Q9" s="18"/>
    </row>
    <row r="10" ht="116" customHeight="1" spans="1:17">
      <c r="A10" s="12" t="s">
        <v>110</v>
      </c>
      <c r="B10" s="12">
        <v>1</v>
      </c>
      <c r="C10" s="8" t="s">
        <v>78</v>
      </c>
      <c r="D10" s="8" t="s">
        <v>111</v>
      </c>
      <c r="E10" s="8" t="s">
        <v>112</v>
      </c>
      <c r="F10" s="8" t="s">
        <v>113</v>
      </c>
      <c r="G10" s="8" t="s">
        <v>114</v>
      </c>
      <c r="H10" s="13" t="s">
        <v>9</v>
      </c>
      <c r="I10" s="14"/>
      <c r="J10" s="15" t="s">
        <v>83</v>
      </c>
      <c r="K10" s="16">
        <v>46305</v>
      </c>
      <c r="L10" s="17">
        <v>3.5</v>
      </c>
      <c r="M10" s="9" t="s">
        <v>115</v>
      </c>
      <c r="N10" s="9" t="s">
        <v>85</v>
      </c>
      <c r="O10" s="15" t="s">
        <v>83</v>
      </c>
      <c r="P10" s="8" t="s">
        <v>116</v>
      </c>
      <c r="Q10" s="18"/>
    </row>
    <row r="11" ht="116" customHeight="1" spans="1:17">
      <c r="A11" s="19" t="s">
        <v>117</v>
      </c>
      <c r="B11" s="19">
        <v>1</v>
      </c>
      <c r="C11" s="10" t="s">
        <v>78</v>
      </c>
      <c r="D11" s="10" t="s">
        <v>118</v>
      </c>
      <c r="E11" s="10" t="s">
        <v>119</v>
      </c>
      <c r="F11" s="10" t="s">
        <v>120</v>
      </c>
      <c r="G11" s="10" t="s">
        <v>121</v>
      </c>
      <c r="H11" s="13" t="s">
        <v>9</v>
      </c>
      <c r="I11" s="14"/>
      <c r="J11" s="15" t="s">
        <v>83</v>
      </c>
      <c r="K11" s="20">
        <v>46306</v>
      </c>
      <c r="L11" s="21">
        <v>3.5</v>
      </c>
      <c r="M11" s="11" t="s">
        <v>122</v>
      </c>
      <c r="N11" s="11" t="s">
        <v>123</v>
      </c>
      <c r="O11" s="15" t="s">
        <v>83</v>
      </c>
      <c r="P11" s="10" t="s">
        <v>124</v>
      </c>
      <c r="Q11" s="18"/>
    </row>
    <row r="12" ht="104" customHeight="1" spans="1:17">
      <c r="A12" s="12" t="s">
        <v>125</v>
      </c>
      <c r="B12" s="12">
        <v>1</v>
      </c>
      <c r="C12" s="8" t="s">
        <v>78</v>
      </c>
      <c r="D12" s="8" t="s">
        <v>126</v>
      </c>
      <c r="E12" s="8" t="s">
        <v>127</v>
      </c>
      <c r="F12" s="8" t="s">
        <v>128</v>
      </c>
      <c r="G12" s="8" t="s">
        <v>129</v>
      </c>
      <c r="H12" s="13" t="s">
        <v>9</v>
      </c>
      <c r="I12" s="14"/>
      <c r="J12" s="15" t="s">
        <v>83</v>
      </c>
      <c r="K12" s="16">
        <v>46307</v>
      </c>
      <c r="L12" s="17">
        <v>2.5</v>
      </c>
      <c r="M12" s="9" t="s">
        <v>130</v>
      </c>
      <c r="N12" s="9" t="s">
        <v>131</v>
      </c>
      <c r="O12" s="15" t="s">
        <v>83</v>
      </c>
      <c r="P12" s="8" t="s">
        <v>132</v>
      </c>
      <c r="Q12" s="18"/>
    </row>
    <row r="13" ht="133" customHeight="1" spans="1:17">
      <c r="A13" s="19" t="s">
        <v>133</v>
      </c>
      <c r="B13" s="19">
        <v>2</v>
      </c>
      <c r="C13" s="10" t="s">
        <v>78</v>
      </c>
      <c r="D13" s="10" t="s">
        <v>134</v>
      </c>
      <c r="E13" s="10" t="s">
        <v>135</v>
      </c>
      <c r="F13" s="10" t="s">
        <v>136</v>
      </c>
      <c r="G13" s="10" t="s">
        <v>137</v>
      </c>
      <c r="H13" s="13" t="s">
        <v>9</v>
      </c>
      <c r="I13" s="14"/>
      <c r="J13" s="15" t="s">
        <v>138</v>
      </c>
      <c r="K13" s="20">
        <v>46308</v>
      </c>
      <c r="L13" s="21">
        <v>3.5</v>
      </c>
      <c r="M13" s="11" t="s">
        <v>139</v>
      </c>
      <c r="N13" s="11" t="s">
        <v>83</v>
      </c>
      <c r="O13" s="15" t="s">
        <v>83</v>
      </c>
      <c r="P13" s="10" t="s">
        <v>140</v>
      </c>
      <c r="Q13" s="18"/>
    </row>
    <row r="14" ht="116" customHeight="1" spans="1:17">
      <c r="A14" s="12" t="s">
        <v>141</v>
      </c>
      <c r="B14" s="12">
        <v>2</v>
      </c>
      <c r="C14" s="8" t="s">
        <v>78</v>
      </c>
      <c r="D14" s="8" t="s">
        <v>142</v>
      </c>
      <c r="E14" s="8" t="s">
        <v>143</v>
      </c>
      <c r="F14" s="8" t="s">
        <v>144</v>
      </c>
      <c r="G14" s="8" t="s">
        <v>145</v>
      </c>
      <c r="H14" s="13" t="s">
        <v>9</v>
      </c>
      <c r="I14" s="14"/>
      <c r="J14" s="15" t="s">
        <v>83</v>
      </c>
      <c r="K14" s="16">
        <v>46309</v>
      </c>
      <c r="L14" s="17">
        <v>3.5</v>
      </c>
      <c r="M14" s="9" t="s">
        <v>146</v>
      </c>
      <c r="N14" s="9" t="s">
        <v>83</v>
      </c>
      <c r="O14" s="15" t="s">
        <v>83</v>
      </c>
      <c r="P14" s="8" t="s">
        <v>147</v>
      </c>
      <c r="Q14" s="18"/>
    </row>
    <row r="15" ht="104" customHeight="1" spans="1:17">
      <c r="A15" s="19" t="s">
        <v>148</v>
      </c>
      <c r="B15" s="19">
        <v>2</v>
      </c>
      <c r="C15" s="10" t="s">
        <v>78</v>
      </c>
      <c r="D15" s="10" t="s">
        <v>149</v>
      </c>
      <c r="E15" s="10" t="s">
        <v>150</v>
      </c>
      <c r="F15" s="10" t="s">
        <v>151</v>
      </c>
      <c r="G15" s="10" t="s">
        <v>152</v>
      </c>
      <c r="H15" s="13" t="s">
        <v>9</v>
      </c>
      <c r="I15" s="14"/>
      <c r="J15" s="15" t="s">
        <v>138</v>
      </c>
      <c r="K15" s="20">
        <v>46310</v>
      </c>
      <c r="L15" s="21">
        <v>3.5</v>
      </c>
      <c r="M15" s="11" t="s">
        <v>153</v>
      </c>
      <c r="N15" s="11" t="s">
        <v>83</v>
      </c>
      <c r="O15" s="15" t="s">
        <v>83</v>
      </c>
      <c r="P15" s="10" t="s">
        <v>154</v>
      </c>
      <c r="Q15" s="18"/>
    </row>
    <row r="16" ht="116" customHeight="1" spans="1:17">
      <c r="A16" s="12" t="s">
        <v>155</v>
      </c>
      <c r="B16" s="12">
        <v>2</v>
      </c>
      <c r="C16" s="8" t="s">
        <v>78</v>
      </c>
      <c r="D16" s="8" t="s">
        <v>156</v>
      </c>
      <c r="E16" s="8" t="s">
        <v>157</v>
      </c>
      <c r="F16" s="8" t="s">
        <v>158</v>
      </c>
      <c r="G16" s="8" t="s">
        <v>159</v>
      </c>
      <c r="H16" s="13" t="s">
        <v>9</v>
      </c>
      <c r="I16" s="14"/>
      <c r="J16" s="15" t="s">
        <v>83</v>
      </c>
      <c r="K16" s="16">
        <v>46311</v>
      </c>
      <c r="L16" s="17">
        <v>3.5</v>
      </c>
      <c r="M16" s="9" t="s">
        <v>160</v>
      </c>
      <c r="N16" s="9" t="s">
        <v>153</v>
      </c>
      <c r="O16" s="15" t="s">
        <v>83</v>
      </c>
      <c r="P16" s="8" t="s">
        <v>161</v>
      </c>
      <c r="Q16" s="18"/>
    </row>
    <row r="17" ht="104" customHeight="1" spans="1:17">
      <c r="A17" s="19" t="s">
        <v>162</v>
      </c>
      <c r="B17" s="19">
        <v>2</v>
      </c>
      <c r="C17" s="10" t="s">
        <v>78</v>
      </c>
      <c r="D17" s="10" t="s">
        <v>163</v>
      </c>
      <c r="E17" s="10" t="s">
        <v>164</v>
      </c>
      <c r="F17" s="10" t="s">
        <v>165</v>
      </c>
      <c r="G17" s="10" t="s">
        <v>166</v>
      </c>
      <c r="H17" s="13" t="s">
        <v>9</v>
      </c>
      <c r="I17" s="14"/>
      <c r="J17" s="15" t="s">
        <v>83</v>
      </c>
      <c r="K17" s="20">
        <v>46312</v>
      </c>
      <c r="L17" s="21">
        <v>3.5</v>
      </c>
      <c r="M17" s="11" t="s">
        <v>123</v>
      </c>
      <c r="N17" s="11" t="s">
        <v>167</v>
      </c>
      <c r="O17" s="15" t="s">
        <v>83</v>
      </c>
      <c r="P17" s="10" t="s">
        <v>168</v>
      </c>
      <c r="Q17" s="18"/>
    </row>
    <row r="18" ht="104" customHeight="1" spans="1:17">
      <c r="A18" s="12" t="s">
        <v>169</v>
      </c>
      <c r="B18" s="12">
        <v>2</v>
      </c>
      <c r="C18" s="8" t="s">
        <v>78</v>
      </c>
      <c r="D18" s="8" t="s">
        <v>170</v>
      </c>
      <c r="E18" s="8" t="s">
        <v>171</v>
      </c>
      <c r="F18" s="8" t="s">
        <v>172</v>
      </c>
      <c r="G18" s="8" t="s">
        <v>173</v>
      </c>
      <c r="H18" s="13" t="s">
        <v>9</v>
      </c>
      <c r="I18" s="14"/>
      <c r="J18" s="15" t="s">
        <v>83</v>
      </c>
      <c r="K18" s="16">
        <v>46313</v>
      </c>
      <c r="L18" s="17">
        <v>3.5</v>
      </c>
      <c r="M18" s="9" t="s">
        <v>85</v>
      </c>
      <c r="N18" s="9" t="s">
        <v>100</v>
      </c>
      <c r="O18" s="15" t="s">
        <v>83</v>
      </c>
      <c r="P18" s="8" t="s">
        <v>174</v>
      </c>
      <c r="Q18" s="18"/>
    </row>
    <row r="19" ht="116" customHeight="1" spans="1:17">
      <c r="A19" s="19" t="s">
        <v>175</v>
      </c>
      <c r="B19" s="19">
        <v>2</v>
      </c>
      <c r="C19" s="10" t="s">
        <v>78</v>
      </c>
      <c r="D19" s="10" t="s">
        <v>176</v>
      </c>
      <c r="E19" s="10" t="s">
        <v>177</v>
      </c>
      <c r="F19" s="10" t="s">
        <v>178</v>
      </c>
      <c r="G19" s="10" t="s">
        <v>179</v>
      </c>
      <c r="H19" s="13" t="s">
        <v>9</v>
      </c>
      <c r="I19" s="14"/>
      <c r="J19" s="15" t="s">
        <v>83</v>
      </c>
      <c r="K19" s="20">
        <v>46314</v>
      </c>
      <c r="L19" s="21">
        <v>2.5</v>
      </c>
      <c r="M19" s="11" t="s">
        <v>123</v>
      </c>
      <c r="N19" s="11" t="s">
        <v>131</v>
      </c>
      <c r="O19" s="15" t="s">
        <v>83</v>
      </c>
      <c r="P19" s="10" t="s">
        <v>180</v>
      </c>
      <c r="Q19" s="18"/>
    </row>
    <row r="20" ht="116" customHeight="1" spans="1:17">
      <c r="A20" s="12" t="s">
        <v>181</v>
      </c>
      <c r="B20" s="12">
        <v>3</v>
      </c>
      <c r="C20" s="8" t="s">
        <v>78</v>
      </c>
      <c r="D20" s="8" t="s">
        <v>182</v>
      </c>
      <c r="E20" s="8" t="s">
        <v>183</v>
      </c>
      <c r="F20" s="8" t="s">
        <v>184</v>
      </c>
      <c r="G20" s="8" t="s">
        <v>185</v>
      </c>
      <c r="H20" s="13" t="s">
        <v>9</v>
      </c>
      <c r="I20" s="14"/>
      <c r="J20" s="15" t="s">
        <v>83</v>
      </c>
      <c r="K20" s="16">
        <v>46315</v>
      </c>
      <c r="L20" s="17">
        <v>3.5</v>
      </c>
      <c r="M20" s="9" t="s">
        <v>123</v>
      </c>
      <c r="N20" s="9" t="s">
        <v>186</v>
      </c>
      <c r="O20" s="15" t="s">
        <v>83</v>
      </c>
      <c r="P20" s="8" t="s">
        <v>187</v>
      </c>
      <c r="Q20" s="18"/>
    </row>
    <row r="21" ht="116" customHeight="1" spans="1:17">
      <c r="A21" s="19" t="s">
        <v>188</v>
      </c>
      <c r="B21" s="19">
        <v>3</v>
      </c>
      <c r="C21" s="10" t="s">
        <v>78</v>
      </c>
      <c r="D21" s="10" t="s">
        <v>189</v>
      </c>
      <c r="E21" s="10" t="s">
        <v>190</v>
      </c>
      <c r="F21" s="10" t="s">
        <v>191</v>
      </c>
      <c r="G21" s="10" t="s">
        <v>192</v>
      </c>
      <c r="H21" s="13" t="s">
        <v>9</v>
      </c>
      <c r="I21" s="14"/>
      <c r="J21" s="15" t="s">
        <v>83</v>
      </c>
      <c r="K21" s="20">
        <v>46316</v>
      </c>
      <c r="L21" s="21">
        <v>3.5</v>
      </c>
      <c r="M21" s="11" t="s">
        <v>153</v>
      </c>
      <c r="N21" s="11" t="s">
        <v>146</v>
      </c>
      <c r="O21" s="15" t="s">
        <v>83</v>
      </c>
      <c r="P21" s="10" t="s">
        <v>193</v>
      </c>
      <c r="Q21" s="18"/>
    </row>
    <row r="22" ht="104" customHeight="1" spans="1:17">
      <c r="A22" s="12" t="s">
        <v>194</v>
      </c>
      <c r="B22" s="12">
        <v>3</v>
      </c>
      <c r="C22" s="8" t="s">
        <v>78</v>
      </c>
      <c r="D22" s="8" t="s">
        <v>195</v>
      </c>
      <c r="E22" s="8" t="s">
        <v>196</v>
      </c>
      <c r="F22" s="8" t="s">
        <v>197</v>
      </c>
      <c r="G22" s="8" t="s">
        <v>198</v>
      </c>
      <c r="H22" s="13" t="s">
        <v>9</v>
      </c>
      <c r="I22" s="14"/>
      <c r="J22" s="15" t="s">
        <v>83</v>
      </c>
      <c r="K22" s="16">
        <v>46317</v>
      </c>
      <c r="L22" s="17">
        <v>3.5</v>
      </c>
      <c r="M22" s="9" t="s">
        <v>199</v>
      </c>
      <c r="N22" s="9" t="s">
        <v>200</v>
      </c>
      <c r="O22" s="15" t="s">
        <v>83</v>
      </c>
      <c r="P22" s="8" t="s">
        <v>201</v>
      </c>
      <c r="Q22" s="18"/>
    </row>
    <row r="23" ht="104" customHeight="1" spans="1:17">
      <c r="A23" s="19" t="s">
        <v>202</v>
      </c>
      <c r="B23" s="19">
        <v>3</v>
      </c>
      <c r="C23" s="10" t="s">
        <v>78</v>
      </c>
      <c r="D23" s="10" t="s">
        <v>203</v>
      </c>
      <c r="E23" s="10" t="s">
        <v>204</v>
      </c>
      <c r="F23" s="10" t="s">
        <v>205</v>
      </c>
      <c r="G23" s="10" t="s">
        <v>206</v>
      </c>
      <c r="H23" s="13" t="s">
        <v>9</v>
      </c>
      <c r="I23" s="14"/>
      <c r="J23" s="15" t="s">
        <v>83</v>
      </c>
      <c r="K23" s="20">
        <v>46318</v>
      </c>
      <c r="L23" s="21">
        <v>3.5</v>
      </c>
      <c r="M23" s="11" t="s">
        <v>123</v>
      </c>
      <c r="N23" s="11" t="s">
        <v>199</v>
      </c>
      <c r="O23" s="15" t="s">
        <v>83</v>
      </c>
      <c r="P23" s="10" t="s">
        <v>207</v>
      </c>
      <c r="Q23" s="18"/>
    </row>
    <row r="24" ht="184" customHeight="1" spans="1:17">
      <c r="A24" s="12" t="s">
        <v>208</v>
      </c>
      <c r="B24" s="12">
        <v>3</v>
      </c>
      <c r="C24" s="8" t="s">
        <v>78</v>
      </c>
      <c r="D24" s="8" t="s">
        <v>209</v>
      </c>
      <c r="E24" s="8" t="s">
        <v>210</v>
      </c>
      <c r="F24" s="8" t="s">
        <v>211</v>
      </c>
      <c r="G24" s="8" t="s">
        <v>212</v>
      </c>
      <c r="H24" s="13" t="s">
        <v>9</v>
      </c>
      <c r="I24" s="14"/>
      <c r="J24" s="15" t="s">
        <v>83</v>
      </c>
      <c r="K24" s="16">
        <v>46319</v>
      </c>
      <c r="L24" s="17">
        <v>3.5</v>
      </c>
      <c r="M24" s="9" t="s">
        <v>123</v>
      </c>
      <c r="N24" s="9" t="s">
        <v>213</v>
      </c>
      <c r="O24" s="15" t="s">
        <v>83</v>
      </c>
      <c r="P24" s="8" t="s">
        <v>214</v>
      </c>
      <c r="Q24" s="18"/>
    </row>
    <row r="25" ht="104" customHeight="1" spans="1:17">
      <c r="A25" s="19" t="s">
        <v>215</v>
      </c>
      <c r="B25" s="19">
        <v>3</v>
      </c>
      <c r="C25" s="10" t="s">
        <v>78</v>
      </c>
      <c r="D25" s="10" t="s">
        <v>216</v>
      </c>
      <c r="E25" s="10" t="s">
        <v>217</v>
      </c>
      <c r="F25" s="10" t="s">
        <v>218</v>
      </c>
      <c r="G25" s="10" t="s">
        <v>219</v>
      </c>
      <c r="H25" s="13" t="s">
        <v>9</v>
      </c>
      <c r="I25" s="14"/>
      <c r="J25" s="15" t="s">
        <v>83</v>
      </c>
      <c r="K25" s="20">
        <v>46320</v>
      </c>
      <c r="L25" s="21">
        <v>3.5</v>
      </c>
      <c r="M25" s="11" t="s">
        <v>131</v>
      </c>
      <c r="N25" s="11" t="s">
        <v>199</v>
      </c>
      <c r="O25" s="15" t="s">
        <v>83</v>
      </c>
      <c r="P25" s="10" t="s">
        <v>220</v>
      </c>
      <c r="Q25" s="18"/>
    </row>
    <row r="26" ht="104" customHeight="1" spans="1:17">
      <c r="A26" s="12" t="s">
        <v>221</v>
      </c>
      <c r="B26" s="12">
        <v>3</v>
      </c>
      <c r="C26" s="8" t="s">
        <v>78</v>
      </c>
      <c r="D26" s="8" t="s">
        <v>222</v>
      </c>
      <c r="E26" s="8" t="s">
        <v>223</v>
      </c>
      <c r="F26" s="8" t="s">
        <v>224</v>
      </c>
      <c r="G26" s="8" t="s">
        <v>225</v>
      </c>
      <c r="H26" s="13" t="s">
        <v>9</v>
      </c>
      <c r="I26" s="14"/>
      <c r="J26" s="15" t="s">
        <v>83</v>
      </c>
      <c r="K26" s="16">
        <v>46321</v>
      </c>
      <c r="L26" s="17">
        <v>2.5</v>
      </c>
      <c r="M26" s="9" t="s">
        <v>131</v>
      </c>
      <c r="N26" s="9" t="s">
        <v>123</v>
      </c>
      <c r="O26" s="15" t="s">
        <v>83</v>
      </c>
      <c r="P26" s="8" t="s">
        <v>226</v>
      </c>
      <c r="Q26" s="18"/>
    </row>
    <row r="27" ht="116" customHeight="1" spans="1:17">
      <c r="A27" s="19" t="s">
        <v>227</v>
      </c>
      <c r="B27" s="19">
        <v>4</v>
      </c>
      <c r="C27" s="10" t="s">
        <v>78</v>
      </c>
      <c r="D27" s="10" t="s">
        <v>228</v>
      </c>
      <c r="E27" s="10" t="s">
        <v>229</v>
      </c>
      <c r="F27" s="10" t="s">
        <v>230</v>
      </c>
      <c r="G27" s="10" t="s">
        <v>231</v>
      </c>
      <c r="H27" s="13" t="s">
        <v>9</v>
      </c>
      <c r="I27" s="14"/>
      <c r="J27" s="15" t="s">
        <v>83</v>
      </c>
      <c r="K27" s="20">
        <v>46322</v>
      </c>
      <c r="L27" s="21">
        <v>3.5</v>
      </c>
      <c r="M27" s="11" t="s">
        <v>160</v>
      </c>
      <c r="N27" s="11" t="s">
        <v>213</v>
      </c>
      <c r="O27" s="15" t="s">
        <v>83</v>
      </c>
      <c r="P27" s="10" t="s">
        <v>232</v>
      </c>
      <c r="Q27" s="18"/>
    </row>
    <row r="28" ht="104" customHeight="1" spans="1:17">
      <c r="A28" s="12" t="s">
        <v>233</v>
      </c>
      <c r="B28" s="12">
        <v>4</v>
      </c>
      <c r="C28" s="8" t="s">
        <v>78</v>
      </c>
      <c r="D28" s="8" t="s">
        <v>234</v>
      </c>
      <c r="E28" s="8" t="s">
        <v>235</v>
      </c>
      <c r="F28" s="8" t="s">
        <v>236</v>
      </c>
      <c r="G28" s="8" t="s">
        <v>237</v>
      </c>
      <c r="H28" s="13" t="s">
        <v>9</v>
      </c>
      <c r="I28" s="14"/>
      <c r="J28" s="15" t="s">
        <v>83</v>
      </c>
      <c r="K28" s="16">
        <v>46323</v>
      </c>
      <c r="L28" s="17">
        <v>3.5</v>
      </c>
      <c r="M28" s="9" t="s">
        <v>146</v>
      </c>
      <c r="N28" s="9" t="s">
        <v>160</v>
      </c>
      <c r="O28" s="15" t="s">
        <v>83</v>
      </c>
      <c r="P28" s="8" t="s">
        <v>238</v>
      </c>
      <c r="Q28" s="18"/>
    </row>
    <row r="29" ht="104" customHeight="1" spans="1:17">
      <c r="A29" s="19" t="s">
        <v>239</v>
      </c>
      <c r="B29" s="19">
        <v>4</v>
      </c>
      <c r="C29" s="10" t="s">
        <v>78</v>
      </c>
      <c r="D29" s="10" t="s">
        <v>240</v>
      </c>
      <c r="E29" s="10" t="s">
        <v>241</v>
      </c>
      <c r="F29" s="10" t="s">
        <v>242</v>
      </c>
      <c r="G29" s="10" t="s">
        <v>243</v>
      </c>
      <c r="H29" s="13" t="s">
        <v>9</v>
      </c>
      <c r="I29" s="14"/>
      <c r="J29" s="15" t="s">
        <v>83</v>
      </c>
      <c r="K29" s="20">
        <v>46324</v>
      </c>
      <c r="L29" s="21">
        <v>3.5</v>
      </c>
      <c r="M29" s="11" t="s">
        <v>123</v>
      </c>
      <c r="N29" s="11" t="s">
        <v>115</v>
      </c>
      <c r="O29" s="15" t="s">
        <v>83</v>
      </c>
      <c r="P29" s="10" t="s">
        <v>244</v>
      </c>
      <c r="Q29" s="18"/>
    </row>
    <row r="30" ht="116" customHeight="1" spans="1:17">
      <c r="A30" s="12" t="s">
        <v>245</v>
      </c>
      <c r="B30" s="12">
        <v>4</v>
      </c>
      <c r="C30" s="8" t="s">
        <v>78</v>
      </c>
      <c r="D30" s="8" t="s">
        <v>246</v>
      </c>
      <c r="E30" s="8" t="s">
        <v>247</v>
      </c>
      <c r="F30" s="8" t="s">
        <v>248</v>
      </c>
      <c r="G30" s="8" t="s">
        <v>249</v>
      </c>
      <c r="H30" s="13" t="s">
        <v>9</v>
      </c>
      <c r="I30" s="14"/>
      <c r="J30" s="15" t="s">
        <v>83</v>
      </c>
      <c r="K30" s="16">
        <v>46325</v>
      </c>
      <c r="L30" s="17">
        <v>3.5</v>
      </c>
      <c r="M30" s="9" t="s">
        <v>250</v>
      </c>
      <c r="N30" s="9" t="s">
        <v>83</v>
      </c>
      <c r="O30" s="15" t="s">
        <v>83</v>
      </c>
      <c r="P30" s="8" t="s">
        <v>251</v>
      </c>
      <c r="Q30" s="18"/>
    </row>
    <row r="31" ht="133" customHeight="1" spans="1:17">
      <c r="A31" s="19" t="s">
        <v>252</v>
      </c>
      <c r="B31" s="19">
        <v>4</v>
      </c>
      <c r="C31" s="10" t="s">
        <v>78</v>
      </c>
      <c r="D31" s="10" t="s">
        <v>253</v>
      </c>
      <c r="E31" s="10" t="s">
        <v>254</v>
      </c>
      <c r="F31" s="10" t="s">
        <v>255</v>
      </c>
      <c r="G31" s="10" t="s">
        <v>256</v>
      </c>
      <c r="H31" s="13" t="s">
        <v>9</v>
      </c>
      <c r="I31" s="14"/>
      <c r="J31" s="15" t="s">
        <v>83</v>
      </c>
      <c r="K31" s="20">
        <v>46326</v>
      </c>
      <c r="L31" s="21">
        <v>3.75</v>
      </c>
      <c r="M31" s="11" t="s">
        <v>257</v>
      </c>
      <c r="N31" s="11" t="s">
        <v>123</v>
      </c>
      <c r="O31" s="15" t="s">
        <v>83</v>
      </c>
      <c r="P31" s="10" t="s">
        <v>258</v>
      </c>
      <c r="Q31" s="18"/>
    </row>
    <row r="32" ht="104" customHeight="1" spans="1:17">
      <c r="A32" s="12" t="s">
        <v>259</v>
      </c>
      <c r="B32" s="12">
        <v>4</v>
      </c>
      <c r="C32" s="8" t="s">
        <v>78</v>
      </c>
      <c r="D32" s="8" t="s">
        <v>260</v>
      </c>
      <c r="E32" s="8" t="s">
        <v>261</v>
      </c>
      <c r="F32" s="8" t="s">
        <v>262</v>
      </c>
      <c r="G32" s="8" t="s">
        <v>263</v>
      </c>
      <c r="H32" s="13" t="s">
        <v>9</v>
      </c>
      <c r="I32" s="14"/>
      <c r="J32" s="15" t="s">
        <v>83</v>
      </c>
      <c r="K32" s="16">
        <v>46327</v>
      </c>
      <c r="L32" s="17">
        <v>3.5</v>
      </c>
      <c r="M32" s="9" t="s">
        <v>131</v>
      </c>
      <c r="N32" s="9" t="s">
        <v>264</v>
      </c>
      <c r="O32" s="15" t="s">
        <v>83</v>
      </c>
      <c r="P32" s="8" t="s">
        <v>265</v>
      </c>
      <c r="Q32" s="18"/>
    </row>
    <row r="33" ht="150" customHeight="1" spans="1:17">
      <c r="A33" s="19" t="s">
        <v>266</v>
      </c>
      <c r="B33" s="19">
        <v>4</v>
      </c>
      <c r="C33" s="10" t="s">
        <v>78</v>
      </c>
      <c r="D33" s="10" t="s">
        <v>267</v>
      </c>
      <c r="E33" s="10" t="s">
        <v>268</v>
      </c>
      <c r="F33" s="10" t="s">
        <v>269</v>
      </c>
      <c r="G33" s="10" t="s">
        <v>270</v>
      </c>
      <c r="H33" s="13" t="s">
        <v>9</v>
      </c>
      <c r="I33" s="14"/>
      <c r="J33" s="15" t="s">
        <v>83</v>
      </c>
      <c r="K33" s="20">
        <v>46328</v>
      </c>
      <c r="L33" s="21">
        <v>2.5</v>
      </c>
      <c r="M33" s="11" t="s">
        <v>123</v>
      </c>
      <c r="N33" s="11" t="s">
        <v>131</v>
      </c>
      <c r="O33" s="15" t="s">
        <v>83</v>
      </c>
      <c r="P33" s="10" t="s">
        <v>271</v>
      </c>
      <c r="Q33" s="18"/>
    </row>
    <row r="34" ht="104" customHeight="1" spans="1:17">
      <c r="A34" s="12" t="s">
        <v>272</v>
      </c>
      <c r="B34" s="12">
        <v>5</v>
      </c>
      <c r="C34" s="8" t="s">
        <v>273</v>
      </c>
      <c r="D34" s="8" t="s">
        <v>274</v>
      </c>
      <c r="E34" s="8" t="s">
        <v>275</v>
      </c>
      <c r="F34" s="8" t="s">
        <v>276</v>
      </c>
      <c r="G34" s="8" t="s">
        <v>277</v>
      </c>
      <c r="H34" s="13" t="s">
        <v>9</v>
      </c>
      <c r="I34" s="14"/>
      <c r="J34" s="15" t="s">
        <v>83</v>
      </c>
      <c r="K34" s="16">
        <v>46329</v>
      </c>
      <c r="L34" s="17">
        <v>3.5</v>
      </c>
      <c r="M34" s="9" t="s">
        <v>278</v>
      </c>
      <c r="N34" s="9" t="s">
        <v>83</v>
      </c>
      <c r="O34" s="15" t="s">
        <v>83</v>
      </c>
      <c r="P34" s="8" t="s">
        <v>279</v>
      </c>
      <c r="Q34" s="18"/>
    </row>
    <row r="35" ht="104" customHeight="1" spans="1:17">
      <c r="A35" s="19" t="s">
        <v>280</v>
      </c>
      <c r="B35" s="19">
        <v>5</v>
      </c>
      <c r="C35" s="10" t="s">
        <v>273</v>
      </c>
      <c r="D35" s="10" t="s">
        <v>281</v>
      </c>
      <c r="E35" s="10" t="s">
        <v>282</v>
      </c>
      <c r="F35" s="10" t="s">
        <v>283</v>
      </c>
      <c r="G35" s="10" t="s">
        <v>284</v>
      </c>
      <c r="H35" s="13" t="s">
        <v>9</v>
      </c>
      <c r="I35" s="14"/>
      <c r="J35" s="15" t="s">
        <v>83</v>
      </c>
      <c r="K35" s="20">
        <v>46330</v>
      </c>
      <c r="L35" s="21">
        <v>3.5</v>
      </c>
      <c r="M35" s="11" t="s">
        <v>278</v>
      </c>
      <c r="N35" s="11" t="s">
        <v>85</v>
      </c>
      <c r="O35" s="15" t="s">
        <v>83</v>
      </c>
      <c r="P35" s="10" t="s">
        <v>285</v>
      </c>
      <c r="Q35" s="18"/>
    </row>
    <row r="36" ht="116" customHeight="1" spans="1:17">
      <c r="A36" s="12" t="s">
        <v>286</v>
      </c>
      <c r="B36" s="12">
        <v>5</v>
      </c>
      <c r="C36" s="8" t="s">
        <v>273</v>
      </c>
      <c r="D36" s="8" t="s">
        <v>287</v>
      </c>
      <c r="E36" s="8" t="s">
        <v>288</v>
      </c>
      <c r="F36" s="8" t="s">
        <v>289</v>
      </c>
      <c r="G36" s="8" t="s">
        <v>290</v>
      </c>
      <c r="H36" s="13" t="s">
        <v>9</v>
      </c>
      <c r="I36" s="14"/>
      <c r="J36" s="15" t="s">
        <v>83</v>
      </c>
      <c r="K36" s="16">
        <v>46331</v>
      </c>
      <c r="L36" s="17">
        <v>3.75</v>
      </c>
      <c r="M36" s="9" t="s">
        <v>291</v>
      </c>
      <c r="N36" s="9" t="s">
        <v>292</v>
      </c>
      <c r="O36" s="15" t="s">
        <v>83</v>
      </c>
      <c r="P36" s="8" t="s">
        <v>293</v>
      </c>
      <c r="Q36" s="18"/>
    </row>
    <row r="37" ht="104" customHeight="1" spans="1:17">
      <c r="A37" s="19" t="s">
        <v>294</v>
      </c>
      <c r="B37" s="19">
        <v>5</v>
      </c>
      <c r="C37" s="10" t="s">
        <v>273</v>
      </c>
      <c r="D37" s="10" t="s">
        <v>295</v>
      </c>
      <c r="E37" s="10" t="s">
        <v>296</v>
      </c>
      <c r="F37" s="10" t="s">
        <v>297</v>
      </c>
      <c r="G37" s="10" t="s">
        <v>298</v>
      </c>
      <c r="H37" s="13" t="s">
        <v>9</v>
      </c>
      <c r="I37" s="14"/>
      <c r="J37" s="15" t="s">
        <v>83</v>
      </c>
      <c r="K37" s="20">
        <v>46332</v>
      </c>
      <c r="L37" s="21">
        <v>3.5</v>
      </c>
      <c r="M37" s="11" t="s">
        <v>278</v>
      </c>
      <c r="N37" s="11" t="s">
        <v>291</v>
      </c>
      <c r="O37" s="15" t="s">
        <v>83</v>
      </c>
      <c r="P37" s="10" t="s">
        <v>299</v>
      </c>
      <c r="Q37" s="18"/>
    </row>
    <row r="38" ht="116" customHeight="1" spans="1:17">
      <c r="A38" s="12" t="s">
        <v>300</v>
      </c>
      <c r="B38" s="12">
        <v>5</v>
      </c>
      <c r="C38" s="8" t="s">
        <v>273</v>
      </c>
      <c r="D38" s="8" t="s">
        <v>301</v>
      </c>
      <c r="E38" s="8" t="s">
        <v>302</v>
      </c>
      <c r="F38" s="8" t="s">
        <v>303</v>
      </c>
      <c r="G38" s="8" t="s">
        <v>304</v>
      </c>
      <c r="H38" s="13" t="s">
        <v>9</v>
      </c>
      <c r="I38" s="14"/>
      <c r="J38" s="15" t="s">
        <v>83</v>
      </c>
      <c r="K38" s="16">
        <v>46333</v>
      </c>
      <c r="L38" s="17">
        <v>3.5</v>
      </c>
      <c r="M38" s="9" t="s">
        <v>278</v>
      </c>
      <c r="N38" s="9" t="s">
        <v>292</v>
      </c>
      <c r="O38" s="15" t="s">
        <v>83</v>
      </c>
      <c r="P38" s="8" t="s">
        <v>305</v>
      </c>
      <c r="Q38" s="18"/>
    </row>
    <row r="39" ht="104" customHeight="1" spans="1:17">
      <c r="A39" s="19" t="s">
        <v>306</v>
      </c>
      <c r="B39" s="19">
        <v>5</v>
      </c>
      <c r="C39" s="10" t="s">
        <v>273</v>
      </c>
      <c r="D39" s="10" t="s">
        <v>307</v>
      </c>
      <c r="E39" s="10" t="s">
        <v>308</v>
      </c>
      <c r="F39" s="10" t="s">
        <v>309</v>
      </c>
      <c r="G39" s="10" t="s">
        <v>310</v>
      </c>
      <c r="H39" s="13" t="s">
        <v>9</v>
      </c>
      <c r="I39" s="14"/>
      <c r="J39" s="15" t="s">
        <v>83</v>
      </c>
      <c r="K39" s="20">
        <v>46334</v>
      </c>
      <c r="L39" s="21">
        <v>3.5</v>
      </c>
      <c r="M39" s="11" t="s">
        <v>250</v>
      </c>
      <c r="N39" s="11" t="s">
        <v>291</v>
      </c>
      <c r="O39" s="15" t="s">
        <v>83</v>
      </c>
      <c r="P39" s="10" t="s">
        <v>311</v>
      </c>
      <c r="Q39" s="18"/>
    </row>
    <row r="40" ht="116" customHeight="1" spans="1:17">
      <c r="A40" s="12" t="s">
        <v>312</v>
      </c>
      <c r="B40" s="12">
        <v>5</v>
      </c>
      <c r="C40" s="8" t="s">
        <v>273</v>
      </c>
      <c r="D40" s="8" t="s">
        <v>313</v>
      </c>
      <c r="E40" s="8" t="s">
        <v>314</v>
      </c>
      <c r="F40" s="8" t="s">
        <v>315</v>
      </c>
      <c r="G40" s="8" t="s">
        <v>316</v>
      </c>
      <c r="H40" s="13" t="s">
        <v>9</v>
      </c>
      <c r="I40" s="14"/>
      <c r="J40" s="15" t="s">
        <v>83</v>
      </c>
      <c r="K40" s="16">
        <v>46335</v>
      </c>
      <c r="L40" s="17">
        <v>2.5</v>
      </c>
      <c r="M40" s="9" t="s">
        <v>278</v>
      </c>
      <c r="N40" s="9" t="s">
        <v>292</v>
      </c>
      <c r="O40" s="15" t="s">
        <v>83</v>
      </c>
      <c r="P40" s="8" t="s">
        <v>317</v>
      </c>
      <c r="Q40" s="18"/>
    </row>
    <row r="41" ht="116" customHeight="1" spans="1:17">
      <c r="A41" s="19" t="s">
        <v>318</v>
      </c>
      <c r="B41" s="19">
        <v>6</v>
      </c>
      <c r="C41" s="10" t="s">
        <v>273</v>
      </c>
      <c r="D41" s="10" t="s">
        <v>319</v>
      </c>
      <c r="E41" s="10" t="s">
        <v>320</v>
      </c>
      <c r="F41" s="10" t="s">
        <v>321</v>
      </c>
      <c r="G41" s="10" t="s">
        <v>322</v>
      </c>
      <c r="H41" s="13" t="s">
        <v>9</v>
      </c>
      <c r="I41" s="14"/>
      <c r="J41" s="15" t="s">
        <v>83</v>
      </c>
      <c r="K41" s="20">
        <v>46336</v>
      </c>
      <c r="L41" s="21">
        <v>3.5</v>
      </c>
      <c r="M41" s="11" t="s">
        <v>122</v>
      </c>
      <c r="N41" s="11" t="s">
        <v>93</v>
      </c>
      <c r="O41" s="15" t="s">
        <v>83</v>
      </c>
      <c r="P41" s="10" t="s">
        <v>323</v>
      </c>
      <c r="Q41" s="18"/>
    </row>
    <row r="42" ht="104" customHeight="1" spans="1:17">
      <c r="A42" s="12" t="s">
        <v>324</v>
      </c>
      <c r="B42" s="12">
        <v>6</v>
      </c>
      <c r="C42" s="8" t="s">
        <v>273</v>
      </c>
      <c r="D42" s="8" t="s">
        <v>325</v>
      </c>
      <c r="E42" s="8" t="s">
        <v>326</v>
      </c>
      <c r="F42" s="8" t="s">
        <v>327</v>
      </c>
      <c r="G42" s="8" t="s">
        <v>328</v>
      </c>
      <c r="H42" s="13" t="s">
        <v>9</v>
      </c>
      <c r="I42" s="14"/>
      <c r="J42" s="15" t="s">
        <v>83</v>
      </c>
      <c r="K42" s="16">
        <v>46337</v>
      </c>
      <c r="L42" s="17">
        <v>3.5</v>
      </c>
      <c r="M42" s="9" t="s">
        <v>115</v>
      </c>
      <c r="N42" s="9" t="s">
        <v>278</v>
      </c>
      <c r="O42" s="15" t="s">
        <v>83</v>
      </c>
      <c r="P42" s="8" t="s">
        <v>329</v>
      </c>
      <c r="Q42" s="18"/>
    </row>
    <row r="43" ht="116" customHeight="1" spans="1:17">
      <c r="A43" s="19" t="s">
        <v>330</v>
      </c>
      <c r="B43" s="19">
        <v>6</v>
      </c>
      <c r="C43" s="10" t="s">
        <v>273</v>
      </c>
      <c r="D43" s="10" t="s">
        <v>331</v>
      </c>
      <c r="E43" s="10" t="s">
        <v>332</v>
      </c>
      <c r="F43" s="10" t="s">
        <v>333</v>
      </c>
      <c r="G43" s="10" t="s">
        <v>334</v>
      </c>
      <c r="H43" s="13" t="s">
        <v>9</v>
      </c>
      <c r="I43" s="14"/>
      <c r="J43" s="15" t="s">
        <v>83</v>
      </c>
      <c r="K43" s="20">
        <v>46338</v>
      </c>
      <c r="L43" s="21">
        <v>3.5</v>
      </c>
      <c r="M43" s="11" t="s">
        <v>199</v>
      </c>
      <c r="N43" s="11" t="s">
        <v>93</v>
      </c>
      <c r="O43" s="15" t="s">
        <v>83</v>
      </c>
      <c r="P43" s="10" t="s">
        <v>335</v>
      </c>
      <c r="Q43" s="18"/>
    </row>
    <row r="44" ht="116" customHeight="1" spans="1:17">
      <c r="A44" s="12" t="s">
        <v>336</v>
      </c>
      <c r="B44" s="12">
        <v>6</v>
      </c>
      <c r="C44" s="8" t="s">
        <v>273</v>
      </c>
      <c r="D44" s="8" t="s">
        <v>337</v>
      </c>
      <c r="E44" s="8" t="s">
        <v>338</v>
      </c>
      <c r="F44" s="8" t="s">
        <v>339</v>
      </c>
      <c r="G44" s="8" t="s">
        <v>340</v>
      </c>
      <c r="H44" s="13" t="s">
        <v>9</v>
      </c>
      <c r="I44" s="14"/>
      <c r="J44" s="15" t="s">
        <v>83</v>
      </c>
      <c r="K44" s="16">
        <v>46339</v>
      </c>
      <c r="L44" s="17">
        <v>3.5</v>
      </c>
      <c r="M44" s="9" t="s">
        <v>199</v>
      </c>
      <c r="N44" s="9" t="s">
        <v>200</v>
      </c>
      <c r="O44" s="15" t="s">
        <v>83</v>
      </c>
      <c r="P44" s="8" t="s">
        <v>341</v>
      </c>
      <c r="Q44" s="18"/>
    </row>
    <row r="45" ht="150" customHeight="1" spans="1:17">
      <c r="A45" s="19" t="s">
        <v>342</v>
      </c>
      <c r="B45" s="19">
        <v>6</v>
      </c>
      <c r="C45" s="10" t="s">
        <v>273</v>
      </c>
      <c r="D45" s="10" t="s">
        <v>343</v>
      </c>
      <c r="E45" s="10" t="s">
        <v>344</v>
      </c>
      <c r="F45" s="10" t="s">
        <v>345</v>
      </c>
      <c r="G45" s="10" t="s">
        <v>346</v>
      </c>
      <c r="H45" s="13" t="s">
        <v>9</v>
      </c>
      <c r="I45" s="14"/>
      <c r="J45" s="15" t="s">
        <v>83</v>
      </c>
      <c r="K45" s="20">
        <v>46340</v>
      </c>
      <c r="L45" s="21">
        <v>3.5</v>
      </c>
      <c r="M45" s="11" t="s">
        <v>213</v>
      </c>
      <c r="N45" s="11" t="s">
        <v>278</v>
      </c>
      <c r="O45" s="15" t="s">
        <v>83</v>
      </c>
      <c r="P45" s="10" t="s">
        <v>347</v>
      </c>
      <c r="Q45" s="18"/>
    </row>
    <row r="46" ht="116" customHeight="1" spans="1:17">
      <c r="A46" s="12" t="s">
        <v>348</v>
      </c>
      <c r="B46" s="12">
        <v>6</v>
      </c>
      <c r="C46" s="8" t="s">
        <v>273</v>
      </c>
      <c r="D46" s="8" t="s">
        <v>349</v>
      </c>
      <c r="E46" s="8" t="s">
        <v>350</v>
      </c>
      <c r="F46" s="8" t="s">
        <v>351</v>
      </c>
      <c r="G46" s="8" t="s">
        <v>352</v>
      </c>
      <c r="H46" s="13" t="s">
        <v>9</v>
      </c>
      <c r="I46" s="14"/>
      <c r="J46" s="15" t="s">
        <v>83</v>
      </c>
      <c r="K46" s="16">
        <v>46341</v>
      </c>
      <c r="L46" s="17">
        <v>3.5</v>
      </c>
      <c r="M46" s="9" t="s">
        <v>130</v>
      </c>
      <c r="N46" s="9" t="s">
        <v>292</v>
      </c>
      <c r="O46" s="15" t="s">
        <v>83</v>
      </c>
      <c r="P46" s="8" t="s">
        <v>353</v>
      </c>
      <c r="Q46" s="18"/>
    </row>
    <row r="47" ht="133" customHeight="1" spans="1:17">
      <c r="A47" s="19" t="s">
        <v>354</v>
      </c>
      <c r="B47" s="19">
        <v>6</v>
      </c>
      <c r="C47" s="10" t="s">
        <v>273</v>
      </c>
      <c r="D47" s="10" t="s">
        <v>355</v>
      </c>
      <c r="E47" s="10" t="s">
        <v>356</v>
      </c>
      <c r="F47" s="10" t="s">
        <v>357</v>
      </c>
      <c r="G47" s="10" t="s">
        <v>358</v>
      </c>
      <c r="H47" s="13" t="s">
        <v>9</v>
      </c>
      <c r="I47" s="14"/>
      <c r="J47" s="15" t="s">
        <v>83</v>
      </c>
      <c r="K47" s="20">
        <v>46342</v>
      </c>
      <c r="L47" s="21">
        <v>2.5</v>
      </c>
      <c r="M47" s="11" t="s">
        <v>131</v>
      </c>
      <c r="N47" s="11" t="s">
        <v>278</v>
      </c>
      <c r="O47" s="15" t="s">
        <v>83</v>
      </c>
      <c r="P47" s="10" t="s">
        <v>359</v>
      </c>
      <c r="Q47" s="18"/>
    </row>
    <row r="48" ht="116" customHeight="1" spans="1:17">
      <c r="A48" s="12" t="s">
        <v>360</v>
      </c>
      <c r="B48" s="12">
        <v>7</v>
      </c>
      <c r="C48" s="8" t="s">
        <v>273</v>
      </c>
      <c r="D48" s="8" t="s">
        <v>361</v>
      </c>
      <c r="E48" s="8" t="s">
        <v>362</v>
      </c>
      <c r="F48" s="8" t="s">
        <v>363</v>
      </c>
      <c r="G48" s="8" t="s">
        <v>364</v>
      </c>
      <c r="H48" s="13" t="s">
        <v>9</v>
      </c>
      <c r="I48" s="14"/>
      <c r="J48" s="15" t="s">
        <v>83</v>
      </c>
      <c r="K48" s="16">
        <v>46343</v>
      </c>
      <c r="L48" s="17">
        <v>3.5</v>
      </c>
      <c r="M48" s="9" t="s">
        <v>213</v>
      </c>
      <c r="N48" s="9" t="s">
        <v>130</v>
      </c>
      <c r="O48" s="15" t="s">
        <v>83</v>
      </c>
      <c r="P48" s="8" t="s">
        <v>365</v>
      </c>
      <c r="Q48" s="18"/>
    </row>
    <row r="49" ht="116" customHeight="1" spans="1:17">
      <c r="A49" s="19" t="s">
        <v>366</v>
      </c>
      <c r="B49" s="19">
        <v>7</v>
      </c>
      <c r="C49" s="10" t="s">
        <v>273</v>
      </c>
      <c r="D49" s="10" t="s">
        <v>367</v>
      </c>
      <c r="E49" s="10" t="s">
        <v>368</v>
      </c>
      <c r="F49" s="10" t="s">
        <v>369</v>
      </c>
      <c r="G49" s="10" t="s">
        <v>370</v>
      </c>
      <c r="H49" s="13" t="s">
        <v>9</v>
      </c>
      <c r="I49" s="14"/>
      <c r="J49" s="15" t="s">
        <v>83</v>
      </c>
      <c r="K49" s="20">
        <v>46344</v>
      </c>
      <c r="L49" s="21">
        <v>3.5</v>
      </c>
      <c r="M49" s="11" t="s">
        <v>371</v>
      </c>
      <c r="N49" s="11" t="s">
        <v>372</v>
      </c>
      <c r="O49" s="15" t="s">
        <v>83</v>
      </c>
      <c r="P49" s="10" t="s">
        <v>373</v>
      </c>
      <c r="Q49" s="18"/>
    </row>
    <row r="50" ht="104" customHeight="1" spans="1:17">
      <c r="A50" s="12" t="s">
        <v>374</v>
      </c>
      <c r="B50" s="12">
        <v>7</v>
      </c>
      <c r="C50" s="8" t="s">
        <v>273</v>
      </c>
      <c r="D50" s="8" t="s">
        <v>375</v>
      </c>
      <c r="E50" s="8" t="s">
        <v>376</v>
      </c>
      <c r="F50" s="8" t="s">
        <v>377</v>
      </c>
      <c r="G50" s="8" t="s">
        <v>378</v>
      </c>
      <c r="H50" s="13" t="s">
        <v>9</v>
      </c>
      <c r="I50" s="14"/>
      <c r="J50" s="15" t="s">
        <v>138</v>
      </c>
      <c r="K50" s="16">
        <v>46345</v>
      </c>
      <c r="L50" s="17">
        <v>3.75</v>
      </c>
      <c r="M50" s="9" t="s">
        <v>379</v>
      </c>
      <c r="N50" s="9" t="s">
        <v>380</v>
      </c>
      <c r="O50" s="15" t="s">
        <v>83</v>
      </c>
      <c r="P50" s="8" t="s">
        <v>381</v>
      </c>
      <c r="Q50" s="18"/>
    </row>
    <row r="51" ht="116" customHeight="1" spans="1:17">
      <c r="A51" s="19" t="s">
        <v>382</v>
      </c>
      <c r="B51" s="19">
        <v>7</v>
      </c>
      <c r="C51" s="10" t="s">
        <v>273</v>
      </c>
      <c r="D51" s="10" t="s">
        <v>383</v>
      </c>
      <c r="E51" s="10" t="s">
        <v>384</v>
      </c>
      <c r="F51" s="10" t="s">
        <v>385</v>
      </c>
      <c r="G51" s="10" t="s">
        <v>386</v>
      </c>
      <c r="H51" s="13" t="s">
        <v>9</v>
      </c>
      <c r="I51" s="14"/>
      <c r="J51" s="15" t="s">
        <v>83</v>
      </c>
      <c r="K51" s="20">
        <v>46346</v>
      </c>
      <c r="L51" s="21">
        <v>3.5</v>
      </c>
      <c r="M51" s="11" t="s">
        <v>380</v>
      </c>
      <c r="N51" s="11" t="s">
        <v>264</v>
      </c>
      <c r="O51" s="15" t="s">
        <v>83</v>
      </c>
      <c r="P51" s="10" t="s">
        <v>387</v>
      </c>
      <c r="Q51" s="18"/>
    </row>
    <row r="52" ht="104" customHeight="1" spans="1:17">
      <c r="A52" s="12" t="s">
        <v>388</v>
      </c>
      <c r="B52" s="12">
        <v>7</v>
      </c>
      <c r="C52" s="8" t="s">
        <v>273</v>
      </c>
      <c r="D52" s="8" t="s">
        <v>389</v>
      </c>
      <c r="E52" s="8" t="s">
        <v>390</v>
      </c>
      <c r="F52" s="8" t="s">
        <v>391</v>
      </c>
      <c r="G52" s="8" t="s">
        <v>392</v>
      </c>
      <c r="H52" s="13" t="s">
        <v>9</v>
      </c>
      <c r="I52" s="14"/>
      <c r="J52" s="15" t="s">
        <v>83</v>
      </c>
      <c r="K52" s="16">
        <v>46347</v>
      </c>
      <c r="L52" s="17">
        <v>3.5</v>
      </c>
      <c r="M52" s="9" t="s">
        <v>393</v>
      </c>
      <c r="N52" s="9" t="s">
        <v>83</v>
      </c>
      <c r="O52" s="15" t="s">
        <v>83</v>
      </c>
      <c r="P52" s="8" t="s">
        <v>394</v>
      </c>
      <c r="Q52" s="18"/>
    </row>
    <row r="53" ht="116" customHeight="1" spans="1:17">
      <c r="A53" s="19" t="s">
        <v>395</v>
      </c>
      <c r="B53" s="19">
        <v>7</v>
      </c>
      <c r="C53" s="10" t="s">
        <v>273</v>
      </c>
      <c r="D53" s="10" t="s">
        <v>396</v>
      </c>
      <c r="E53" s="10" t="s">
        <v>397</v>
      </c>
      <c r="F53" s="10" t="s">
        <v>398</v>
      </c>
      <c r="G53" s="10" t="s">
        <v>399</v>
      </c>
      <c r="H53" s="13" t="s">
        <v>9</v>
      </c>
      <c r="I53" s="14"/>
      <c r="J53" s="15" t="s">
        <v>83</v>
      </c>
      <c r="K53" s="20">
        <v>46348</v>
      </c>
      <c r="L53" s="21">
        <v>3.5</v>
      </c>
      <c r="M53" s="11" t="s">
        <v>264</v>
      </c>
      <c r="N53" s="11" t="s">
        <v>400</v>
      </c>
      <c r="O53" s="15" t="s">
        <v>83</v>
      </c>
      <c r="P53" s="10" t="s">
        <v>401</v>
      </c>
      <c r="Q53" s="18"/>
    </row>
    <row r="54" ht="104" customHeight="1" spans="1:17">
      <c r="A54" s="12" t="s">
        <v>402</v>
      </c>
      <c r="B54" s="12">
        <v>7</v>
      </c>
      <c r="C54" s="8" t="s">
        <v>273</v>
      </c>
      <c r="D54" s="8" t="s">
        <v>403</v>
      </c>
      <c r="E54" s="8" t="s">
        <v>404</v>
      </c>
      <c r="F54" s="8" t="s">
        <v>405</v>
      </c>
      <c r="G54" s="8" t="s">
        <v>406</v>
      </c>
      <c r="H54" s="13" t="s">
        <v>9</v>
      </c>
      <c r="I54" s="14"/>
      <c r="J54" s="15" t="s">
        <v>83</v>
      </c>
      <c r="K54" s="16">
        <v>46349</v>
      </c>
      <c r="L54" s="17">
        <v>2.5</v>
      </c>
      <c r="M54" s="9" t="s">
        <v>131</v>
      </c>
      <c r="N54" s="9" t="s">
        <v>372</v>
      </c>
      <c r="O54" s="15" t="s">
        <v>83</v>
      </c>
      <c r="P54" s="8" t="s">
        <v>407</v>
      </c>
      <c r="Q54" s="18"/>
    </row>
    <row r="55" ht="116" customHeight="1" spans="1:17">
      <c r="A55" s="19" t="s">
        <v>408</v>
      </c>
      <c r="B55" s="19">
        <v>8</v>
      </c>
      <c r="C55" s="10" t="s">
        <v>409</v>
      </c>
      <c r="D55" s="10" t="s">
        <v>410</v>
      </c>
      <c r="E55" s="10" t="s">
        <v>411</v>
      </c>
      <c r="F55" s="10" t="s">
        <v>412</v>
      </c>
      <c r="G55" s="10" t="s">
        <v>413</v>
      </c>
      <c r="H55" s="13" t="s">
        <v>9</v>
      </c>
      <c r="I55" s="14"/>
      <c r="J55" s="15" t="s">
        <v>83</v>
      </c>
      <c r="K55" s="20">
        <v>46350</v>
      </c>
      <c r="L55" s="21">
        <v>3.5</v>
      </c>
      <c r="M55" s="11" t="s">
        <v>122</v>
      </c>
      <c r="N55" s="11" t="s">
        <v>186</v>
      </c>
      <c r="O55" s="15" t="s">
        <v>83</v>
      </c>
      <c r="P55" s="10" t="s">
        <v>414</v>
      </c>
      <c r="Q55" s="18"/>
    </row>
    <row r="56" ht="104" customHeight="1" spans="1:17">
      <c r="A56" s="12" t="s">
        <v>415</v>
      </c>
      <c r="B56" s="12">
        <v>8</v>
      </c>
      <c r="C56" s="8" t="s">
        <v>409</v>
      </c>
      <c r="D56" s="8" t="s">
        <v>416</v>
      </c>
      <c r="E56" s="8" t="s">
        <v>417</v>
      </c>
      <c r="F56" s="8" t="s">
        <v>418</v>
      </c>
      <c r="G56" s="8" t="s">
        <v>419</v>
      </c>
      <c r="H56" s="13" t="s">
        <v>9</v>
      </c>
      <c r="I56" s="14"/>
      <c r="J56" s="15" t="s">
        <v>83</v>
      </c>
      <c r="K56" s="16">
        <v>46351</v>
      </c>
      <c r="L56" s="17">
        <v>3.5</v>
      </c>
      <c r="M56" s="9" t="s">
        <v>186</v>
      </c>
      <c r="N56" s="9" t="s">
        <v>123</v>
      </c>
      <c r="O56" s="15" t="s">
        <v>83</v>
      </c>
      <c r="P56" s="8" t="s">
        <v>420</v>
      </c>
      <c r="Q56" s="18"/>
    </row>
    <row r="57" ht="104" customHeight="1" spans="1:17">
      <c r="A57" s="19" t="s">
        <v>421</v>
      </c>
      <c r="B57" s="19">
        <v>8</v>
      </c>
      <c r="C57" s="10" t="s">
        <v>409</v>
      </c>
      <c r="D57" s="10" t="s">
        <v>422</v>
      </c>
      <c r="E57" s="10" t="s">
        <v>423</v>
      </c>
      <c r="F57" s="10" t="s">
        <v>424</v>
      </c>
      <c r="G57" s="10" t="s">
        <v>425</v>
      </c>
      <c r="H57" s="13" t="s">
        <v>9</v>
      </c>
      <c r="I57" s="14"/>
      <c r="J57" s="15" t="s">
        <v>83</v>
      </c>
      <c r="K57" s="20">
        <v>46352</v>
      </c>
      <c r="L57" s="21">
        <v>3.5</v>
      </c>
      <c r="M57" s="11" t="s">
        <v>186</v>
      </c>
      <c r="N57" s="11" t="s">
        <v>257</v>
      </c>
      <c r="O57" s="15" t="s">
        <v>83</v>
      </c>
      <c r="P57" s="10" t="s">
        <v>426</v>
      </c>
      <c r="Q57" s="18"/>
    </row>
    <row r="58" ht="104" customHeight="1" spans="1:17">
      <c r="A58" s="12" t="s">
        <v>427</v>
      </c>
      <c r="B58" s="12">
        <v>8</v>
      </c>
      <c r="C58" s="8" t="s">
        <v>409</v>
      </c>
      <c r="D58" s="8" t="s">
        <v>428</v>
      </c>
      <c r="E58" s="8" t="s">
        <v>429</v>
      </c>
      <c r="F58" s="8" t="s">
        <v>430</v>
      </c>
      <c r="G58" s="8" t="s">
        <v>431</v>
      </c>
      <c r="H58" s="13" t="s">
        <v>9</v>
      </c>
      <c r="I58" s="14"/>
      <c r="J58" s="15" t="s">
        <v>83</v>
      </c>
      <c r="K58" s="16">
        <v>46353</v>
      </c>
      <c r="L58" s="17">
        <v>3.5</v>
      </c>
      <c r="M58" s="9" t="s">
        <v>372</v>
      </c>
      <c r="N58" s="9" t="s">
        <v>131</v>
      </c>
      <c r="O58" s="15" t="s">
        <v>83</v>
      </c>
      <c r="P58" s="8" t="s">
        <v>432</v>
      </c>
      <c r="Q58" s="18"/>
    </row>
    <row r="59" ht="116" customHeight="1" spans="1:17">
      <c r="A59" s="19" t="s">
        <v>433</v>
      </c>
      <c r="B59" s="19">
        <v>8</v>
      </c>
      <c r="C59" s="10" t="s">
        <v>409</v>
      </c>
      <c r="D59" s="10" t="s">
        <v>434</v>
      </c>
      <c r="E59" s="10" t="s">
        <v>435</v>
      </c>
      <c r="F59" s="10" t="s">
        <v>436</v>
      </c>
      <c r="G59" s="10" t="s">
        <v>437</v>
      </c>
      <c r="H59" s="13" t="s">
        <v>9</v>
      </c>
      <c r="I59" s="14"/>
      <c r="J59" s="15" t="s">
        <v>83</v>
      </c>
      <c r="K59" s="20">
        <v>46354</v>
      </c>
      <c r="L59" s="21">
        <v>3.5</v>
      </c>
      <c r="M59" s="11" t="s">
        <v>250</v>
      </c>
      <c r="N59" s="11" t="s">
        <v>400</v>
      </c>
      <c r="O59" s="15" t="s">
        <v>83</v>
      </c>
      <c r="P59" s="10" t="s">
        <v>438</v>
      </c>
      <c r="Q59" s="18"/>
    </row>
    <row r="60" ht="116" customHeight="1" spans="1:17">
      <c r="A60" s="12" t="s">
        <v>439</v>
      </c>
      <c r="B60" s="12">
        <v>8</v>
      </c>
      <c r="C60" s="8" t="s">
        <v>409</v>
      </c>
      <c r="D60" s="8" t="s">
        <v>440</v>
      </c>
      <c r="E60" s="8" t="s">
        <v>441</v>
      </c>
      <c r="F60" s="8" t="s">
        <v>442</v>
      </c>
      <c r="G60" s="8" t="s">
        <v>443</v>
      </c>
      <c r="H60" s="13" t="s">
        <v>9</v>
      </c>
      <c r="I60" s="14"/>
      <c r="J60" s="15" t="s">
        <v>83</v>
      </c>
      <c r="K60" s="16">
        <v>46355</v>
      </c>
      <c r="L60" s="17">
        <v>3.75</v>
      </c>
      <c r="M60" s="9" t="s">
        <v>444</v>
      </c>
      <c r="N60" s="9" t="s">
        <v>257</v>
      </c>
      <c r="O60" s="15" t="s">
        <v>83</v>
      </c>
      <c r="P60" s="8" t="s">
        <v>445</v>
      </c>
      <c r="Q60" s="18"/>
    </row>
    <row r="61" ht="104" customHeight="1" spans="1:17">
      <c r="A61" s="19" t="s">
        <v>446</v>
      </c>
      <c r="B61" s="19">
        <v>8</v>
      </c>
      <c r="C61" s="10" t="s">
        <v>409</v>
      </c>
      <c r="D61" s="10" t="s">
        <v>447</v>
      </c>
      <c r="E61" s="10" t="s">
        <v>448</v>
      </c>
      <c r="F61" s="10" t="s">
        <v>449</v>
      </c>
      <c r="G61" s="10" t="s">
        <v>450</v>
      </c>
      <c r="H61" s="13" t="s">
        <v>9</v>
      </c>
      <c r="I61" s="14"/>
      <c r="J61" s="15" t="s">
        <v>83</v>
      </c>
      <c r="K61" s="20">
        <v>46356</v>
      </c>
      <c r="L61" s="21">
        <v>2.5</v>
      </c>
      <c r="M61" s="11" t="s">
        <v>186</v>
      </c>
      <c r="N61" s="11" t="s">
        <v>122</v>
      </c>
      <c r="O61" s="15" t="s">
        <v>83</v>
      </c>
      <c r="P61" s="10" t="s">
        <v>451</v>
      </c>
      <c r="Q61" s="18"/>
    </row>
    <row r="62" ht="133" customHeight="1" spans="1:17">
      <c r="A62" s="12" t="s">
        <v>452</v>
      </c>
      <c r="B62" s="12">
        <v>9</v>
      </c>
      <c r="C62" s="8" t="s">
        <v>409</v>
      </c>
      <c r="D62" s="8" t="s">
        <v>453</v>
      </c>
      <c r="E62" s="8" t="s">
        <v>454</v>
      </c>
      <c r="F62" s="8" t="s">
        <v>455</v>
      </c>
      <c r="G62" s="8" t="s">
        <v>456</v>
      </c>
      <c r="H62" s="13" t="s">
        <v>9</v>
      </c>
      <c r="I62" s="14"/>
      <c r="J62" s="15" t="s">
        <v>83</v>
      </c>
      <c r="K62" s="16">
        <v>46357</v>
      </c>
      <c r="L62" s="17">
        <v>3.5</v>
      </c>
      <c r="M62" s="9" t="s">
        <v>131</v>
      </c>
      <c r="N62" s="9" t="s">
        <v>83</v>
      </c>
      <c r="O62" s="15" t="s">
        <v>83</v>
      </c>
      <c r="P62" s="8" t="s">
        <v>457</v>
      </c>
      <c r="Q62" s="18"/>
    </row>
    <row r="63" ht="104" customHeight="1" spans="1:17">
      <c r="A63" s="19" t="s">
        <v>458</v>
      </c>
      <c r="B63" s="19">
        <v>9</v>
      </c>
      <c r="C63" s="10" t="s">
        <v>409</v>
      </c>
      <c r="D63" s="10" t="s">
        <v>459</v>
      </c>
      <c r="E63" s="10" t="s">
        <v>460</v>
      </c>
      <c r="F63" s="10" t="s">
        <v>461</v>
      </c>
      <c r="G63" s="10" t="s">
        <v>462</v>
      </c>
      <c r="H63" s="13" t="s">
        <v>9</v>
      </c>
      <c r="I63" s="14"/>
      <c r="J63" s="15" t="s">
        <v>83</v>
      </c>
      <c r="K63" s="20">
        <v>46358</v>
      </c>
      <c r="L63" s="21">
        <v>3.5</v>
      </c>
      <c r="M63" s="11" t="s">
        <v>463</v>
      </c>
      <c r="N63" s="11" t="s">
        <v>464</v>
      </c>
      <c r="O63" s="15" t="s">
        <v>83</v>
      </c>
      <c r="P63" s="10" t="s">
        <v>465</v>
      </c>
      <c r="Q63" s="18"/>
    </row>
    <row r="64" ht="116" customHeight="1" spans="1:17">
      <c r="A64" s="12" t="s">
        <v>466</v>
      </c>
      <c r="B64" s="12">
        <v>9</v>
      </c>
      <c r="C64" s="8" t="s">
        <v>409</v>
      </c>
      <c r="D64" s="8" t="s">
        <v>467</v>
      </c>
      <c r="E64" s="8" t="s">
        <v>468</v>
      </c>
      <c r="F64" s="8" t="s">
        <v>469</v>
      </c>
      <c r="G64" s="8" t="s">
        <v>470</v>
      </c>
      <c r="H64" s="13" t="s">
        <v>9</v>
      </c>
      <c r="I64" s="14"/>
      <c r="J64" s="15" t="s">
        <v>83</v>
      </c>
      <c r="K64" s="16">
        <v>46359</v>
      </c>
      <c r="L64" s="17">
        <v>3.5</v>
      </c>
      <c r="M64" s="9" t="s">
        <v>122</v>
      </c>
      <c r="N64" s="9" t="s">
        <v>471</v>
      </c>
      <c r="O64" s="15" t="s">
        <v>83</v>
      </c>
      <c r="P64" s="8" t="s">
        <v>472</v>
      </c>
      <c r="Q64" s="18"/>
    </row>
    <row r="65" ht="104" customHeight="1" spans="1:17">
      <c r="A65" s="19" t="s">
        <v>473</v>
      </c>
      <c r="B65" s="19">
        <v>9</v>
      </c>
      <c r="C65" s="10" t="s">
        <v>409</v>
      </c>
      <c r="D65" s="10" t="s">
        <v>474</v>
      </c>
      <c r="E65" s="10" t="s">
        <v>475</v>
      </c>
      <c r="F65" s="10" t="s">
        <v>476</v>
      </c>
      <c r="G65" s="10" t="s">
        <v>477</v>
      </c>
      <c r="H65" s="13" t="s">
        <v>9</v>
      </c>
      <c r="I65" s="14"/>
      <c r="J65" s="15" t="s">
        <v>83</v>
      </c>
      <c r="K65" s="20">
        <v>46360</v>
      </c>
      <c r="L65" s="21">
        <v>3.5</v>
      </c>
      <c r="M65" s="11" t="s">
        <v>471</v>
      </c>
      <c r="N65" s="11" t="s">
        <v>131</v>
      </c>
      <c r="O65" s="15" t="s">
        <v>83</v>
      </c>
      <c r="P65" s="10" t="s">
        <v>478</v>
      </c>
      <c r="Q65" s="18"/>
    </row>
    <row r="66" ht="104" customHeight="1" spans="1:17">
      <c r="A66" s="12" t="s">
        <v>479</v>
      </c>
      <c r="B66" s="12">
        <v>9</v>
      </c>
      <c r="C66" s="8" t="s">
        <v>409</v>
      </c>
      <c r="D66" s="8" t="s">
        <v>480</v>
      </c>
      <c r="E66" s="8" t="s">
        <v>481</v>
      </c>
      <c r="F66" s="8" t="s">
        <v>482</v>
      </c>
      <c r="G66" s="8" t="s">
        <v>483</v>
      </c>
      <c r="H66" s="13" t="s">
        <v>9</v>
      </c>
      <c r="I66" s="14"/>
      <c r="J66" s="15" t="s">
        <v>83</v>
      </c>
      <c r="K66" s="16">
        <v>46361</v>
      </c>
      <c r="L66" s="17">
        <v>3.5</v>
      </c>
      <c r="M66" s="9" t="s">
        <v>484</v>
      </c>
      <c r="N66" s="9" t="s">
        <v>123</v>
      </c>
      <c r="O66" s="15" t="s">
        <v>83</v>
      </c>
      <c r="P66" s="8" t="s">
        <v>485</v>
      </c>
      <c r="Q66" s="18"/>
    </row>
    <row r="67" ht="116" customHeight="1" spans="1:17">
      <c r="A67" s="19" t="s">
        <v>486</v>
      </c>
      <c r="B67" s="19">
        <v>9</v>
      </c>
      <c r="C67" s="10" t="s">
        <v>409</v>
      </c>
      <c r="D67" s="10" t="s">
        <v>487</v>
      </c>
      <c r="E67" s="10" t="s">
        <v>488</v>
      </c>
      <c r="F67" s="10" t="s">
        <v>489</v>
      </c>
      <c r="G67" s="10" t="s">
        <v>490</v>
      </c>
      <c r="H67" s="13" t="s">
        <v>9</v>
      </c>
      <c r="I67" s="14"/>
      <c r="J67" s="15" t="s">
        <v>83</v>
      </c>
      <c r="K67" s="20">
        <v>46362</v>
      </c>
      <c r="L67" s="21">
        <v>3.5</v>
      </c>
      <c r="M67" s="11" t="s">
        <v>491</v>
      </c>
      <c r="N67" s="11" t="s">
        <v>122</v>
      </c>
      <c r="O67" s="15" t="s">
        <v>83</v>
      </c>
      <c r="P67" s="10" t="s">
        <v>492</v>
      </c>
      <c r="Q67" s="18"/>
    </row>
    <row r="68" ht="104" customHeight="1" spans="1:17">
      <c r="A68" s="12" t="s">
        <v>493</v>
      </c>
      <c r="B68" s="12">
        <v>9</v>
      </c>
      <c r="C68" s="8" t="s">
        <v>409</v>
      </c>
      <c r="D68" s="8" t="s">
        <v>494</v>
      </c>
      <c r="E68" s="8" t="s">
        <v>495</v>
      </c>
      <c r="F68" s="8" t="s">
        <v>496</v>
      </c>
      <c r="G68" s="8" t="s">
        <v>497</v>
      </c>
      <c r="H68" s="13" t="s">
        <v>9</v>
      </c>
      <c r="I68" s="14"/>
      <c r="J68" s="15" t="s">
        <v>83</v>
      </c>
      <c r="K68" s="16">
        <v>46363</v>
      </c>
      <c r="L68" s="17">
        <v>2.5</v>
      </c>
      <c r="M68" s="9" t="s">
        <v>471</v>
      </c>
      <c r="N68" s="9" t="s">
        <v>484</v>
      </c>
      <c r="O68" s="15" t="s">
        <v>83</v>
      </c>
      <c r="P68" s="8" t="s">
        <v>498</v>
      </c>
      <c r="Q68" s="18"/>
    </row>
    <row r="69" ht="104" customHeight="1" spans="1:17">
      <c r="A69" s="19" t="s">
        <v>499</v>
      </c>
      <c r="B69" s="19">
        <v>10</v>
      </c>
      <c r="C69" s="10" t="s">
        <v>409</v>
      </c>
      <c r="D69" s="10" t="s">
        <v>500</v>
      </c>
      <c r="E69" s="10" t="s">
        <v>501</v>
      </c>
      <c r="F69" s="10" t="s">
        <v>502</v>
      </c>
      <c r="G69" s="10" t="s">
        <v>503</v>
      </c>
      <c r="H69" s="13" t="s">
        <v>9</v>
      </c>
      <c r="I69" s="14"/>
      <c r="J69" s="15" t="s">
        <v>83</v>
      </c>
      <c r="K69" s="20">
        <v>46364</v>
      </c>
      <c r="L69" s="21">
        <v>3.5</v>
      </c>
      <c r="M69" s="11" t="s">
        <v>471</v>
      </c>
      <c r="N69" s="11" t="s">
        <v>484</v>
      </c>
      <c r="O69" s="15" t="s">
        <v>83</v>
      </c>
      <c r="P69" s="10" t="s">
        <v>504</v>
      </c>
      <c r="Q69" s="18"/>
    </row>
    <row r="70" ht="104" customHeight="1" spans="1:17">
      <c r="A70" s="12" t="s">
        <v>505</v>
      </c>
      <c r="B70" s="12">
        <v>10</v>
      </c>
      <c r="C70" s="8" t="s">
        <v>409</v>
      </c>
      <c r="D70" s="8" t="s">
        <v>506</v>
      </c>
      <c r="E70" s="8" t="s">
        <v>507</v>
      </c>
      <c r="F70" s="8" t="s">
        <v>508</v>
      </c>
      <c r="G70" s="8" t="s">
        <v>509</v>
      </c>
      <c r="H70" s="13" t="s">
        <v>9</v>
      </c>
      <c r="I70" s="14"/>
      <c r="J70" s="15" t="s">
        <v>83</v>
      </c>
      <c r="K70" s="16">
        <v>46365</v>
      </c>
      <c r="L70" s="17">
        <v>3.5</v>
      </c>
      <c r="M70" s="9" t="s">
        <v>131</v>
      </c>
      <c r="N70" s="9" t="s">
        <v>484</v>
      </c>
      <c r="O70" s="15" t="s">
        <v>83</v>
      </c>
      <c r="P70" s="8" t="s">
        <v>510</v>
      </c>
      <c r="Q70" s="18"/>
    </row>
    <row r="71" ht="116" customHeight="1" spans="1:17">
      <c r="A71" s="19" t="s">
        <v>511</v>
      </c>
      <c r="B71" s="19">
        <v>10</v>
      </c>
      <c r="C71" s="10" t="s">
        <v>409</v>
      </c>
      <c r="D71" s="10" t="s">
        <v>512</v>
      </c>
      <c r="E71" s="10" t="s">
        <v>513</v>
      </c>
      <c r="F71" s="10" t="s">
        <v>514</v>
      </c>
      <c r="G71" s="10" t="s">
        <v>515</v>
      </c>
      <c r="H71" s="13" t="s">
        <v>9</v>
      </c>
      <c r="I71" s="14"/>
      <c r="J71" s="15" t="s">
        <v>83</v>
      </c>
      <c r="K71" s="20">
        <v>46366</v>
      </c>
      <c r="L71" s="21">
        <v>3.5</v>
      </c>
      <c r="M71" s="11" t="s">
        <v>471</v>
      </c>
      <c r="N71" s="11" t="s">
        <v>491</v>
      </c>
      <c r="O71" s="15" t="s">
        <v>83</v>
      </c>
      <c r="P71" s="10" t="s">
        <v>516</v>
      </c>
      <c r="Q71" s="18"/>
    </row>
    <row r="72" ht="104" customHeight="1" spans="1:17">
      <c r="A72" s="12" t="s">
        <v>517</v>
      </c>
      <c r="B72" s="12">
        <v>10</v>
      </c>
      <c r="C72" s="8" t="s">
        <v>409</v>
      </c>
      <c r="D72" s="8" t="s">
        <v>518</v>
      </c>
      <c r="E72" s="8" t="s">
        <v>519</v>
      </c>
      <c r="F72" s="8" t="s">
        <v>520</v>
      </c>
      <c r="G72" s="8" t="s">
        <v>521</v>
      </c>
      <c r="H72" s="13" t="s">
        <v>9</v>
      </c>
      <c r="I72" s="14"/>
      <c r="J72" s="15" t="s">
        <v>83</v>
      </c>
      <c r="K72" s="16">
        <v>46367</v>
      </c>
      <c r="L72" s="17">
        <v>3.5</v>
      </c>
      <c r="M72" s="9" t="s">
        <v>123</v>
      </c>
      <c r="N72" s="9" t="s">
        <v>484</v>
      </c>
      <c r="O72" s="15" t="s">
        <v>83</v>
      </c>
      <c r="P72" s="8" t="s">
        <v>522</v>
      </c>
      <c r="Q72" s="18"/>
    </row>
    <row r="73" ht="116" customHeight="1" spans="1:17">
      <c r="A73" s="19" t="s">
        <v>523</v>
      </c>
      <c r="B73" s="19">
        <v>10</v>
      </c>
      <c r="C73" s="10" t="s">
        <v>409</v>
      </c>
      <c r="D73" s="10" t="s">
        <v>524</v>
      </c>
      <c r="E73" s="10" t="s">
        <v>525</v>
      </c>
      <c r="F73" s="10" t="s">
        <v>526</v>
      </c>
      <c r="G73" s="10" t="s">
        <v>527</v>
      </c>
      <c r="H73" s="13" t="s">
        <v>9</v>
      </c>
      <c r="I73" s="14"/>
      <c r="J73" s="15" t="s">
        <v>83</v>
      </c>
      <c r="K73" s="20">
        <v>46368</v>
      </c>
      <c r="L73" s="21">
        <v>3.75</v>
      </c>
      <c r="M73" s="11" t="s">
        <v>264</v>
      </c>
      <c r="N73" s="11" t="s">
        <v>131</v>
      </c>
      <c r="O73" s="15" t="s">
        <v>83</v>
      </c>
      <c r="P73" s="10" t="s">
        <v>528</v>
      </c>
      <c r="Q73" s="18"/>
    </row>
    <row r="74" ht="116" customHeight="1" spans="1:17">
      <c r="A74" s="12" t="s">
        <v>529</v>
      </c>
      <c r="B74" s="12">
        <v>10</v>
      </c>
      <c r="C74" s="8" t="s">
        <v>409</v>
      </c>
      <c r="D74" s="8" t="s">
        <v>530</v>
      </c>
      <c r="E74" s="8" t="s">
        <v>531</v>
      </c>
      <c r="F74" s="8" t="s">
        <v>532</v>
      </c>
      <c r="G74" s="8" t="s">
        <v>533</v>
      </c>
      <c r="H74" s="13" t="s">
        <v>9</v>
      </c>
      <c r="I74" s="14"/>
      <c r="J74" s="15" t="s">
        <v>83</v>
      </c>
      <c r="K74" s="16">
        <v>46369</v>
      </c>
      <c r="L74" s="17">
        <v>3.5</v>
      </c>
      <c r="M74" s="9" t="s">
        <v>186</v>
      </c>
      <c r="N74" s="9" t="s">
        <v>491</v>
      </c>
      <c r="O74" s="15" t="s">
        <v>83</v>
      </c>
      <c r="P74" s="8" t="s">
        <v>534</v>
      </c>
      <c r="Q74" s="18"/>
    </row>
    <row r="75" ht="116" customHeight="1" spans="1:17">
      <c r="A75" s="19" t="s">
        <v>535</v>
      </c>
      <c r="B75" s="19">
        <v>10</v>
      </c>
      <c r="C75" s="10" t="s">
        <v>409</v>
      </c>
      <c r="D75" s="10" t="s">
        <v>536</v>
      </c>
      <c r="E75" s="10" t="s">
        <v>537</v>
      </c>
      <c r="F75" s="10" t="s">
        <v>538</v>
      </c>
      <c r="G75" s="10" t="s">
        <v>539</v>
      </c>
      <c r="H75" s="13" t="s">
        <v>9</v>
      </c>
      <c r="I75" s="14"/>
      <c r="J75" s="15" t="s">
        <v>83</v>
      </c>
      <c r="K75" s="20">
        <v>46370</v>
      </c>
      <c r="L75" s="21">
        <v>2.5</v>
      </c>
      <c r="M75" s="11" t="s">
        <v>131</v>
      </c>
      <c r="N75" s="11" t="s">
        <v>484</v>
      </c>
      <c r="O75" s="15" t="s">
        <v>83</v>
      </c>
      <c r="P75" s="10" t="s">
        <v>540</v>
      </c>
      <c r="Q75" s="18"/>
    </row>
  </sheetData>
  <conditionalFormatting sqref="H6:H75">
    <cfRule type="expression" dxfId="0" priority="1">
      <formula>$H6="未开始"</formula>
    </cfRule>
    <cfRule type="expression" dxfId="1" priority="2">
      <formula>$H6="进行中"</formula>
    </cfRule>
    <cfRule type="expression" dxfId="2" priority="3">
      <formula>$H6="已完成"</formula>
    </cfRule>
  </conditionalFormatting>
  <dataValidations count="1">
    <dataValidation type="list" sqref="H6:H75">
      <formula1>"未开始,进行中,已完成"</formula1>
    </dataValidation>
  </dataValidations>
  <hyperlinks>
    <hyperlink ref="M6" r:id="rId2" display="FastAPI：第一步与接口文档"/>
    <hyperlink ref="N6" r:id="rId3" display="FastAPI：请求体"/>
    <hyperlink ref="M7" r:id="rId4" display="pandas：缺失数据"/>
    <hyperlink ref="N7" r:id="rId5" display="pandas：文件读写"/>
    <hyperlink ref="M8" r:id="rId3" display="FastAPI：请求体"/>
    <hyperlink ref="N8" r:id="rId6" display="FastAPI：处理错误"/>
    <hyperlink ref="M9" r:id="rId7" display="DeepSeek：流式输出"/>
    <hyperlink ref="N9" r:id="rId8" display="DeepSeek：错误码"/>
    <hyperlink ref="M10" r:id="rId9" display="DeepSeek：JSON Output"/>
    <hyperlink ref="N10" r:id="rId3" display="FastAPI：请求体"/>
    <hyperlink ref="M11" r:id="rId10" display="Microsoft Learn：解决方案架构师职业路径"/>
    <hyperlink ref="N11" r:id="rId11" display="Microsoft Learn：RAG 概述"/>
    <hyperlink ref="M12" r:id="rId12" display="FastAPI：测试"/>
    <hyperlink ref="N12" r:id="rId13" display="GitHub Docs：关于 README"/>
    <hyperlink ref="M13" r:id="rId14" display="Sentence Transformers：语义相似度"/>
    <hyperlink ref="M14" r:id="rId15" display="Microsoft Learn：RAG 文档分块"/>
    <hyperlink ref="M15" r:id="rId16" display="Chroma：快速开始"/>
    <hyperlink ref="M16" r:id="rId17" display="Sentence Transformers：语义检索"/>
    <hyperlink ref="N16" r:id="rId16" display="Chroma：快速开始"/>
    <hyperlink ref="M17" r:id="rId11" display="Microsoft Learn：RAG 概述"/>
    <hyperlink ref="N17" r:id="rId18" display="DeepSeek：首次调用"/>
    <hyperlink ref="M18" r:id="rId3" display="FastAPI：请求体"/>
    <hyperlink ref="N18" r:id="rId6" display="FastAPI：处理错误"/>
    <hyperlink ref="M19" r:id="rId11" display="Microsoft Learn：RAG 概述"/>
    <hyperlink ref="N19" r:id="rId13" display="GitHub Docs：关于 README"/>
    <hyperlink ref="M20" r:id="rId11" display="Microsoft Learn：RAG 概述"/>
    <hyperlink ref="N20" r:id="rId19" display="Microsoft Learn：Well-Architected 框架"/>
    <hyperlink ref="M21" r:id="rId16" display="Chroma：快速开始"/>
    <hyperlink ref="N21" r:id="rId15" display="Microsoft Learn：RAG 文档分块"/>
    <hyperlink ref="M22" r:id="rId20" display="Streamlit：聊天应用教程"/>
    <hyperlink ref="N22" r:id="rId21" display="Streamlit：Session State"/>
    <hyperlink ref="M23" r:id="rId11" display="Microsoft Learn：RAG 概述"/>
    <hyperlink ref="N23" r:id="rId20" display="Streamlit：聊天应用教程"/>
    <hyperlink ref="M24" r:id="rId11" display="Microsoft Learn：RAG 概述"/>
    <hyperlink ref="N24" r:id="rId22" display="pytest：入门"/>
    <hyperlink ref="M25" r:id="rId13" display="GitHub Docs：关于 README"/>
    <hyperlink ref="N25" r:id="rId20" display="Streamlit：聊天应用教程"/>
    <hyperlink ref="M26" r:id="rId13" display="GitHub Docs：关于 README"/>
    <hyperlink ref="N26" r:id="rId11" display="Microsoft Learn：RAG 概述"/>
    <hyperlink ref="M27" r:id="rId17" display="Sentence Transformers：语义检索"/>
    <hyperlink ref="N27" r:id="rId22" display="pytest：入门"/>
    <hyperlink ref="M28" r:id="rId15" display="Microsoft Learn：RAG 文档分块"/>
    <hyperlink ref="N28" r:id="rId17" display="Sentence Transformers：语义检索"/>
    <hyperlink ref="M29" r:id="rId11" display="Microsoft Learn：RAG 概述"/>
    <hyperlink ref="N29" r:id="rId9" display="DeepSeek：JSON Output"/>
    <hyperlink ref="M30" r:id="rId23" display="OWASP GenAI：提示注入"/>
    <hyperlink ref="M31" r:id="rId24" display="DeepSeek：模型与价格"/>
    <hyperlink ref="N31" r:id="rId11" display="Microsoft Learn：RAG 概述"/>
    <hyperlink ref="M32" r:id="rId13" display="GitHub Docs：关于 README"/>
    <hyperlink ref="N32" r:id="rId25" display="Python：虚拟环境"/>
    <hyperlink ref="M33" r:id="rId11" display="Microsoft Learn：RAG 概述"/>
    <hyperlink ref="N33" r:id="rId13" display="GitHub Docs：关于 README"/>
    <hyperlink ref="M34" r:id="rId26" display="DeepSeek：工具调用"/>
    <hyperlink ref="M35" r:id="rId26" display="DeepSeek：工具调用"/>
    <hyperlink ref="N35" r:id="rId3" display="FastAPI：请求体"/>
    <hyperlink ref="M36" r:id="rId27" display="Python：sqlite3"/>
    <hyperlink ref="N36" r:id="rId28" display="OWASP GenAI：过度自主权"/>
    <hyperlink ref="M37" r:id="rId26" display="DeepSeek：工具调用"/>
    <hyperlink ref="N37" r:id="rId27" display="Python：sqlite3"/>
    <hyperlink ref="M38" r:id="rId26" display="DeepSeek：工具调用"/>
    <hyperlink ref="N38" r:id="rId28" display="OWASP GenAI：过度自主权"/>
    <hyperlink ref="M39" r:id="rId23" display="OWASP GenAI：提示注入"/>
    <hyperlink ref="N39" r:id="rId27" display="Python：sqlite3"/>
    <hyperlink ref="M40" r:id="rId26" display="DeepSeek：工具调用"/>
    <hyperlink ref="N40" r:id="rId28" display="OWASP GenAI：过度自主权"/>
    <hyperlink ref="M41" r:id="rId10" display="Microsoft Learn：解决方案架构师职业路径"/>
    <hyperlink ref="N41" r:id="rId5" display="pandas：文件读写"/>
    <hyperlink ref="M42" r:id="rId9" display="DeepSeek：JSON Output"/>
    <hyperlink ref="N42" r:id="rId26" display="DeepSeek：工具调用"/>
    <hyperlink ref="M43" r:id="rId20" display="Streamlit：聊天应用教程"/>
    <hyperlink ref="N43" r:id="rId5" display="pandas：文件读写"/>
    <hyperlink ref="M44" r:id="rId20" display="Streamlit：聊天应用教程"/>
    <hyperlink ref="N44" r:id="rId21" display="Streamlit：Session State"/>
    <hyperlink ref="M45" r:id="rId22" display="pytest：入门"/>
    <hyperlink ref="N45" r:id="rId26" display="DeepSeek：工具调用"/>
    <hyperlink ref="M46" r:id="rId12" display="FastAPI：测试"/>
    <hyperlink ref="N46" r:id="rId28" display="OWASP GenAI：过度自主权"/>
    <hyperlink ref="M47" r:id="rId13" display="GitHub Docs：关于 README"/>
    <hyperlink ref="N47" r:id="rId26" display="DeepSeek：工具调用"/>
    <hyperlink ref="M48" r:id="rId22" display="pytest：入门"/>
    <hyperlink ref="N48" r:id="rId12" display="FastAPI：测试"/>
    <hyperlink ref="M49" r:id="rId29" display="Python：日志教程"/>
    <hyperlink ref="N49" r:id="rId30" display="Microsoft Learn：卓越运营原则"/>
    <hyperlink ref="M50" r:id="rId31" display="Docker：入门实践"/>
    <hyperlink ref="N50" r:id="rId32" display="FastAPI：Docker 部署"/>
    <hyperlink ref="M51" r:id="rId32" display="FastAPI：Docker 部署"/>
    <hyperlink ref="N51" r:id="rId25" display="Python：虚拟环境"/>
    <hyperlink ref="M52" r:id="rId33" display="GitHub Docs：构建和测试 Python"/>
    <hyperlink ref="M53" r:id="rId25" display="Python：虚拟环境"/>
    <hyperlink ref="N53" r:id="rId34" display="Microsoft Learn：可靠性原则"/>
    <hyperlink ref="M54" r:id="rId13" display="GitHub Docs：关于 README"/>
    <hyperlink ref="N54" r:id="rId30" display="Microsoft Learn：卓越运营原则"/>
    <hyperlink ref="M55" r:id="rId10" display="Microsoft Learn：解决方案架构师职业路径"/>
    <hyperlink ref="N55" r:id="rId19" display="Microsoft Learn：Well-Architected 框架"/>
    <hyperlink ref="M56" r:id="rId19" display="Microsoft Learn：Well-Architected 框架"/>
    <hyperlink ref="N56" r:id="rId11" display="Microsoft Learn：RAG 概述"/>
    <hyperlink ref="M57" r:id="rId19" display="Microsoft Learn：Well-Architected 框架"/>
    <hyperlink ref="N57" r:id="rId24" display="DeepSeek：模型与价格"/>
    <hyperlink ref="M58" r:id="rId30" display="Microsoft Learn：卓越运营原则"/>
    <hyperlink ref="N58" r:id="rId13" display="GitHub Docs：关于 README"/>
    <hyperlink ref="M59" r:id="rId23" display="OWASP GenAI：提示注入"/>
    <hyperlink ref="N59" r:id="rId34" display="Microsoft Learn：可靠性原则"/>
    <hyperlink ref="M60" r:id="rId35" display="Microsoft Learn：成本优化原则"/>
    <hyperlink ref="N60" r:id="rId24" display="DeepSeek：模型与价格"/>
    <hyperlink ref="M61" r:id="rId19" display="Microsoft Learn：Well-Architected 框架"/>
    <hyperlink ref="N61" r:id="rId10" display="Microsoft Learn：解决方案架构师职业路径"/>
    <hyperlink ref="M62" r:id="rId13" display="GitHub Docs：关于 README"/>
    <hyperlink ref="M63" r:id="rId36" display="GitHub Docs：管理个人主页 README"/>
    <hyperlink ref="N63" r:id="rId37" display="GitHub Docs：从仓库中删除敏感数据"/>
    <hyperlink ref="M64" r:id="rId10" display="Microsoft Learn：解决方案架构师职业路径"/>
    <hyperlink ref="N64" r:id="rId38" display="National Careers Service：撰写简历"/>
    <hyperlink ref="M65" r:id="rId38" display="National Careers Service：撰写简历"/>
    <hyperlink ref="N65" r:id="rId13" display="GitHub Docs：关于 README"/>
    <hyperlink ref="M66" r:id="rId39" display="National Careers Service：面试建议"/>
    <hyperlink ref="N66" r:id="rId11" display="Microsoft Learn：RAG 概述"/>
    <hyperlink ref="M67" r:id="rId40" display="National Careers Service：STAR 面试方法"/>
    <hyperlink ref="N67" r:id="rId10" display="Microsoft Learn：解决方案架构师职业路径"/>
    <hyperlink ref="M68" r:id="rId38" display="National Careers Service：撰写简历"/>
    <hyperlink ref="N68" r:id="rId39" display="National Careers Service：面试建议"/>
    <hyperlink ref="M69" r:id="rId38" display="National Careers Service：撰写简历"/>
    <hyperlink ref="N69" r:id="rId39" display="National Careers Service：面试建议"/>
    <hyperlink ref="M70" r:id="rId13" display="GitHub Docs：关于 README"/>
    <hyperlink ref="N70" r:id="rId39" display="National Careers Service：面试建议"/>
    <hyperlink ref="M71" r:id="rId38" display="National Careers Service：撰写简历"/>
    <hyperlink ref="N71" r:id="rId40" display="National Careers Service：STAR 面试方法"/>
    <hyperlink ref="M72" r:id="rId11" display="Microsoft Learn：RAG 概述"/>
    <hyperlink ref="N72" r:id="rId39" display="National Careers Service：面试建议"/>
    <hyperlink ref="M73" r:id="rId25" display="Python：虚拟环境"/>
    <hyperlink ref="N73" r:id="rId13" display="GitHub Docs：关于 README"/>
    <hyperlink ref="M74" r:id="rId19" display="Microsoft Learn：Well-Architected 框架"/>
    <hyperlink ref="N74" r:id="rId40" display="National Careers Service：STAR 面试方法"/>
    <hyperlink ref="M75" r:id="rId13" display="GitHub Docs：关于 README"/>
    <hyperlink ref="N75" r:id="rId39" display="National Careers Service：面试建议"/>
  </hyperlink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showGridLines="0" workbookViewId="0">
      <pane xSplit="1" ySplit="5" topLeftCell="B6" activePane="bottomRight" state="frozen"/>
      <selection/>
      <selection pane="topRight"/>
      <selection pane="bottomLeft"/>
      <selection pane="bottomRight" activeCell="C6" sqref="C6"/>
    </sheetView>
  </sheetViews>
  <sheetFormatPr defaultColWidth="9" defaultRowHeight="14" outlineLevelCol="3"/>
  <cols>
    <col min="1" max="1" width="26" customWidth="1"/>
    <col min="2" max="2" width="38" customWidth="1"/>
    <col min="3" max="3" width="61" customWidth="1"/>
    <col min="4" max="4" width="58" customWidth="1"/>
  </cols>
  <sheetData>
    <row r="1" ht="16.5" spans="1:4">
      <c r="A1" s="1"/>
      <c r="B1" s="1"/>
      <c r="C1" s="1"/>
      <c r="D1" s="1"/>
    </row>
    <row r="2" ht="32" customHeight="1" spans="1:4">
      <c r="A2" s="2" t="s">
        <v>541</v>
      </c>
      <c r="B2" s="1"/>
      <c r="C2" s="1"/>
      <c r="D2" s="1"/>
    </row>
    <row r="3" ht="16.5" spans="1:4">
      <c r="A3" s="3" t="s">
        <v>542</v>
      </c>
      <c r="B3" s="4"/>
      <c r="C3" s="4"/>
      <c r="D3" s="4"/>
    </row>
    <row r="4" ht="16.5" spans="1:4">
      <c r="A4" s="1"/>
      <c r="B4" s="1"/>
      <c r="C4" s="1"/>
      <c r="D4" s="1"/>
    </row>
    <row r="5" ht="32" customHeight="1" spans="1:4">
      <c r="A5" s="5" t="s">
        <v>543</v>
      </c>
      <c r="B5" s="6" t="s">
        <v>544</v>
      </c>
      <c r="C5" s="6" t="s">
        <v>545</v>
      </c>
      <c r="D5" s="7" t="s">
        <v>546</v>
      </c>
    </row>
    <row r="6" ht="48" customHeight="1" spans="1:4">
      <c r="A6" s="8" t="s">
        <v>547</v>
      </c>
      <c r="B6" s="8" t="s">
        <v>84</v>
      </c>
      <c r="C6" s="9" t="s">
        <v>548</v>
      </c>
      <c r="D6" s="8" t="s">
        <v>549</v>
      </c>
    </row>
    <row r="7" ht="48" customHeight="1" spans="1:4">
      <c r="A7" s="10" t="s">
        <v>550</v>
      </c>
      <c r="B7" s="10" t="s">
        <v>85</v>
      </c>
      <c r="C7" s="11" t="s">
        <v>551</v>
      </c>
      <c r="D7" s="10" t="s">
        <v>552</v>
      </c>
    </row>
    <row r="8" ht="48" customHeight="1" spans="1:4">
      <c r="A8" s="8" t="s">
        <v>553</v>
      </c>
      <c r="B8" s="8" t="s">
        <v>100</v>
      </c>
      <c r="C8" s="9" t="s">
        <v>554</v>
      </c>
      <c r="D8" s="8" t="s">
        <v>555</v>
      </c>
    </row>
    <row r="9" ht="48" customHeight="1" spans="1:4">
      <c r="A9" s="10" t="s">
        <v>556</v>
      </c>
      <c r="B9" s="10" t="s">
        <v>130</v>
      </c>
      <c r="C9" s="11" t="s">
        <v>557</v>
      </c>
      <c r="D9" s="10" t="s">
        <v>558</v>
      </c>
    </row>
    <row r="10" ht="48" customHeight="1" spans="1:4">
      <c r="A10" s="8" t="s">
        <v>559</v>
      </c>
      <c r="B10" s="8" t="s">
        <v>560</v>
      </c>
      <c r="C10" s="9" t="s">
        <v>561</v>
      </c>
      <c r="D10" s="8" t="s">
        <v>562</v>
      </c>
    </row>
    <row r="11" ht="48" customHeight="1" spans="1:4">
      <c r="A11" s="10" t="s">
        <v>563</v>
      </c>
      <c r="B11" s="10" t="s">
        <v>92</v>
      </c>
      <c r="C11" s="11" t="s">
        <v>564</v>
      </c>
      <c r="D11" s="10" t="s">
        <v>565</v>
      </c>
    </row>
    <row r="12" ht="48" customHeight="1" spans="1:4">
      <c r="A12" s="8" t="s">
        <v>566</v>
      </c>
      <c r="B12" s="8" t="s">
        <v>93</v>
      </c>
      <c r="C12" s="9" t="s">
        <v>567</v>
      </c>
      <c r="D12" s="8" t="s">
        <v>568</v>
      </c>
    </row>
    <row r="13" ht="48" customHeight="1" spans="1:4">
      <c r="A13" s="10" t="s">
        <v>569</v>
      </c>
      <c r="B13" s="10" t="s">
        <v>264</v>
      </c>
      <c r="C13" s="11" t="s">
        <v>570</v>
      </c>
      <c r="D13" s="10" t="s">
        <v>571</v>
      </c>
    </row>
    <row r="14" ht="48" customHeight="1" spans="1:4">
      <c r="A14" s="8" t="s">
        <v>572</v>
      </c>
      <c r="B14" s="8" t="s">
        <v>371</v>
      </c>
      <c r="C14" s="9" t="s">
        <v>573</v>
      </c>
      <c r="D14" s="8" t="s">
        <v>574</v>
      </c>
    </row>
    <row r="15" ht="48" customHeight="1" spans="1:4">
      <c r="A15" s="10" t="s">
        <v>575</v>
      </c>
      <c r="B15" s="10" t="s">
        <v>291</v>
      </c>
      <c r="C15" s="11" t="s">
        <v>576</v>
      </c>
      <c r="D15" s="10" t="s">
        <v>577</v>
      </c>
    </row>
    <row r="16" ht="48" customHeight="1" spans="1:4">
      <c r="A16" s="8" t="s">
        <v>578</v>
      </c>
      <c r="B16" s="8" t="s">
        <v>167</v>
      </c>
      <c r="C16" s="9" t="s">
        <v>579</v>
      </c>
      <c r="D16" s="8" t="s">
        <v>580</v>
      </c>
    </row>
    <row r="17" ht="48" customHeight="1" spans="1:4">
      <c r="A17" s="10" t="s">
        <v>581</v>
      </c>
      <c r="B17" s="10" t="s">
        <v>107</v>
      </c>
      <c r="C17" s="11" t="s">
        <v>582</v>
      </c>
      <c r="D17" s="10" t="s">
        <v>583</v>
      </c>
    </row>
    <row r="18" ht="48" customHeight="1" spans="1:4">
      <c r="A18" s="8" t="s">
        <v>584</v>
      </c>
      <c r="B18" s="8" t="s">
        <v>108</v>
      </c>
      <c r="C18" s="9" t="s">
        <v>585</v>
      </c>
      <c r="D18" s="8" t="s">
        <v>586</v>
      </c>
    </row>
    <row r="19" ht="48" customHeight="1" spans="1:4">
      <c r="A19" s="10" t="s">
        <v>587</v>
      </c>
      <c r="B19" s="10" t="s">
        <v>115</v>
      </c>
      <c r="C19" s="11" t="s">
        <v>588</v>
      </c>
      <c r="D19" s="10" t="s">
        <v>589</v>
      </c>
    </row>
    <row r="20" ht="48" customHeight="1" spans="1:4">
      <c r="A20" s="8" t="s">
        <v>590</v>
      </c>
      <c r="B20" s="8" t="s">
        <v>278</v>
      </c>
      <c r="C20" s="9" t="s">
        <v>591</v>
      </c>
      <c r="D20" s="8" t="s">
        <v>592</v>
      </c>
    </row>
    <row r="21" ht="48" customHeight="1" spans="1:4">
      <c r="A21" s="10" t="s">
        <v>593</v>
      </c>
      <c r="B21" s="10" t="s">
        <v>257</v>
      </c>
      <c r="C21" s="11" t="s">
        <v>594</v>
      </c>
      <c r="D21" s="10" t="s">
        <v>595</v>
      </c>
    </row>
    <row r="22" ht="48" customHeight="1" spans="1:4">
      <c r="A22" s="8" t="s">
        <v>596</v>
      </c>
      <c r="B22" s="8" t="s">
        <v>139</v>
      </c>
      <c r="C22" s="9" t="s">
        <v>597</v>
      </c>
      <c r="D22" s="8" t="s">
        <v>598</v>
      </c>
    </row>
    <row r="23" ht="48" customHeight="1" spans="1:4">
      <c r="A23" s="10" t="s">
        <v>599</v>
      </c>
      <c r="B23" s="10" t="s">
        <v>160</v>
      </c>
      <c r="C23" s="11" t="s">
        <v>600</v>
      </c>
      <c r="D23" s="10" t="s">
        <v>601</v>
      </c>
    </row>
    <row r="24" ht="48" customHeight="1" spans="1:4">
      <c r="A24" s="8" t="s">
        <v>602</v>
      </c>
      <c r="B24" s="8" t="s">
        <v>146</v>
      </c>
      <c r="C24" s="9" t="s">
        <v>603</v>
      </c>
      <c r="D24" s="8" t="s">
        <v>604</v>
      </c>
    </row>
    <row r="25" ht="48" customHeight="1" spans="1:4">
      <c r="A25" s="10" t="s">
        <v>605</v>
      </c>
      <c r="B25" s="10" t="s">
        <v>153</v>
      </c>
      <c r="C25" s="11" t="s">
        <v>606</v>
      </c>
      <c r="D25" s="10" t="s">
        <v>607</v>
      </c>
    </row>
    <row r="26" ht="48" customHeight="1" spans="1:4">
      <c r="A26" s="8" t="s">
        <v>608</v>
      </c>
      <c r="B26" s="8" t="s">
        <v>123</v>
      </c>
      <c r="C26" s="9" t="s">
        <v>609</v>
      </c>
      <c r="D26" s="8" t="s">
        <v>610</v>
      </c>
    </row>
    <row r="27" ht="48" customHeight="1" spans="1:4">
      <c r="A27" s="10" t="s">
        <v>611</v>
      </c>
      <c r="B27" s="10" t="s">
        <v>199</v>
      </c>
      <c r="C27" s="11" t="s">
        <v>612</v>
      </c>
      <c r="D27" s="10" t="s">
        <v>613</v>
      </c>
    </row>
    <row r="28" ht="48" customHeight="1" spans="1:4">
      <c r="A28" s="8" t="s">
        <v>614</v>
      </c>
      <c r="B28" s="8" t="s">
        <v>200</v>
      </c>
      <c r="C28" s="9" t="s">
        <v>615</v>
      </c>
      <c r="D28" s="8" t="s">
        <v>616</v>
      </c>
    </row>
    <row r="29" ht="48" customHeight="1" spans="1:4">
      <c r="A29" s="10" t="s">
        <v>617</v>
      </c>
      <c r="B29" s="10" t="s">
        <v>618</v>
      </c>
      <c r="C29" s="11" t="s">
        <v>619</v>
      </c>
      <c r="D29" s="10" t="s">
        <v>620</v>
      </c>
    </row>
    <row r="30" ht="48" customHeight="1" spans="1:4">
      <c r="A30" s="8" t="s">
        <v>621</v>
      </c>
      <c r="B30" s="8" t="s">
        <v>213</v>
      </c>
      <c r="C30" s="9" t="s">
        <v>622</v>
      </c>
      <c r="D30" s="8" t="s">
        <v>623</v>
      </c>
    </row>
    <row r="31" ht="48" customHeight="1" spans="1:4">
      <c r="A31" s="10" t="s">
        <v>624</v>
      </c>
      <c r="B31" s="10" t="s">
        <v>250</v>
      </c>
      <c r="C31" s="11" t="s">
        <v>625</v>
      </c>
      <c r="D31" s="10" t="s">
        <v>626</v>
      </c>
    </row>
    <row r="32" ht="48" customHeight="1" spans="1:4">
      <c r="A32" s="8" t="s">
        <v>627</v>
      </c>
      <c r="B32" s="8" t="s">
        <v>292</v>
      </c>
      <c r="C32" s="9" t="s">
        <v>628</v>
      </c>
      <c r="D32" s="8" t="s">
        <v>629</v>
      </c>
    </row>
    <row r="33" ht="48" customHeight="1" spans="1:4">
      <c r="A33" s="10" t="s">
        <v>630</v>
      </c>
      <c r="B33" s="10" t="s">
        <v>379</v>
      </c>
      <c r="C33" s="11" t="s">
        <v>631</v>
      </c>
      <c r="D33" s="10" t="s">
        <v>632</v>
      </c>
    </row>
    <row r="34" ht="48" customHeight="1" spans="1:4">
      <c r="A34" s="8" t="s">
        <v>633</v>
      </c>
      <c r="B34" s="8" t="s">
        <v>380</v>
      </c>
      <c r="C34" s="9" t="s">
        <v>634</v>
      </c>
      <c r="D34" s="8" t="s">
        <v>635</v>
      </c>
    </row>
    <row r="35" ht="48" customHeight="1" spans="1:4">
      <c r="A35" s="10" t="s">
        <v>636</v>
      </c>
      <c r="B35" s="10" t="s">
        <v>393</v>
      </c>
      <c r="C35" s="11" t="s">
        <v>637</v>
      </c>
      <c r="D35" s="10" t="s">
        <v>638</v>
      </c>
    </row>
    <row r="36" ht="61" customHeight="1" spans="1:4">
      <c r="A36" s="8" t="s">
        <v>639</v>
      </c>
      <c r="B36" s="8" t="s">
        <v>131</v>
      </c>
      <c r="C36" s="9" t="s">
        <v>640</v>
      </c>
      <c r="D36" s="8" t="s">
        <v>641</v>
      </c>
    </row>
    <row r="37" ht="61" customHeight="1" spans="1:4">
      <c r="A37" s="10" t="s">
        <v>642</v>
      </c>
      <c r="B37" s="10" t="s">
        <v>463</v>
      </c>
      <c r="C37" s="11" t="s">
        <v>643</v>
      </c>
      <c r="D37" s="10" t="s">
        <v>644</v>
      </c>
    </row>
    <row r="38" ht="61" customHeight="1" spans="1:4">
      <c r="A38" s="8" t="s">
        <v>645</v>
      </c>
      <c r="B38" s="8" t="s">
        <v>464</v>
      </c>
      <c r="C38" s="9" t="s">
        <v>646</v>
      </c>
      <c r="D38" s="8" t="s">
        <v>647</v>
      </c>
    </row>
    <row r="39" ht="48" customHeight="1" spans="1:4">
      <c r="A39" s="10" t="s">
        <v>648</v>
      </c>
      <c r="B39" s="10" t="s">
        <v>186</v>
      </c>
      <c r="C39" s="11" t="s">
        <v>649</v>
      </c>
      <c r="D39" s="10" t="s">
        <v>650</v>
      </c>
    </row>
    <row r="40" ht="48" customHeight="1" spans="1:4">
      <c r="A40" s="8" t="s">
        <v>651</v>
      </c>
      <c r="B40" s="8" t="s">
        <v>122</v>
      </c>
      <c r="C40" s="9" t="s">
        <v>652</v>
      </c>
      <c r="D40" s="8" t="s">
        <v>653</v>
      </c>
    </row>
    <row r="41" ht="48" customHeight="1" spans="1:4">
      <c r="A41" s="10" t="s">
        <v>654</v>
      </c>
      <c r="B41" s="10" t="s">
        <v>444</v>
      </c>
      <c r="C41" s="11" t="s">
        <v>655</v>
      </c>
      <c r="D41" s="10" t="s">
        <v>656</v>
      </c>
    </row>
    <row r="42" ht="48" customHeight="1" spans="1:4">
      <c r="A42" s="8" t="s">
        <v>657</v>
      </c>
      <c r="B42" s="8" t="s">
        <v>400</v>
      </c>
      <c r="C42" s="9" t="s">
        <v>658</v>
      </c>
      <c r="D42" s="8" t="s">
        <v>659</v>
      </c>
    </row>
    <row r="43" ht="48" customHeight="1" spans="1:4">
      <c r="A43" s="10" t="s">
        <v>660</v>
      </c>
      <c r="B43" s="10" t="s">
        <v>372</v>
      </c>
      <c r="C43" s="11" t="s">
        <v>661</v>
      </c>
      <c r="D43" s="10" t="s">
        <v>662</v>
      </c>
    </row>
    <row r="44" ht="48" customHeight="1" spans="1:4">
      <c r="A44" s="8" t="s">
        <v>663</v>
      </c>
      <c r="B44" s="8" t="s">
        <v>491</v>
      </c>
      <c r="C44" s="9" t="s">
        <v>664</v>
      </c>
      <c r="D44" s="8" t="s">
        <v>665</v>
      </c>
    </row>
    <row r="45" ht="48" customHeight="1" spans="1:4">
      <c r="A45" s="10" t="s">
        <v>666</v>
      </c>
      <c r="B45" s="10" t="s">
        <v>471</v>
      </c>
      <c r="C45" s="11" t="s">
        <v>667</v>
      </c>
      <c r="D45" s="10" t="s">
        <v>668</v>
      </c>
    </row>
    <row r="46" ht="48" customHeight="1" spans="1:4">
      <c r="A46" s="8" t="s">
        <v>669</v>
      </c>
      <c r="B46" s="8" t="s">
        <v>484</v>
      </c>
      <c r="C46" s="9" t="s">
        <v>670</v>
      </c>
      <c r="D46" s="8" t="s">
        <v>671</v>
      </c>
    </row>
  </sheetData>
  <hyperlinks>
    <hyperlink ref="C6" r:id="rId2" display="https://fastapi.tiangolo.com/zh/tutorial/first-steps/" tooltip="https://fastapi.tiangolo.com/zh/tutorial/first-steps/"/>
    <hyperlink ref="C7" r:id="rId3" display="https://fastapi.tiangolo.com/zh/tutorial/body/"/>
    <hyperlink ref="C8" r:id="rId4" display="https://fastapi.tiangolo.com/zh/tutorial/handling-errors/"/>
    <hyperlink ref="C9" r:id="rId5" display="https://fastapi.tiangolo.com/zh/tutorial/testing/"/>
    <hyperlink ref="C10" r:id="rId6" display="https://fastapi.tiangolo.com/zh/tutorial/cors/"/>
    <hyperlink ref="C11" r:id="rId7" display="https://pandas.pydata.org/docs/user_guide/missing_data.html"/>
    <hyperlink ref="C12" r:id="rId8" display="https://pandas.pydata.org/docs/user_guide/io.html"/>
    <hyperlink ref="C13" r:id="rId9" display="https://docs.python.org/zh-cn/3/library/venv.html"/>
    <hyperlink ref="C14" r:id="rId10" display="https://docs.python.org/zh-cn/3/howto/logging.html"/>
    <hyperlink ref="C15" r:id="rId11" display="https://docs.python.org/zh-cn/3/library/sqlite3.html"/>
    <hyperlink ref="C16" r:id="rId12" display="https://api-docs.deepseek.com/zh-cn/"/>
    <hyperlink ref="C17" r:id="rId13" display="https://api-docs.deepseek.com/zh-cn/api/create-chat-completion"/>
    <hyperlink ref="C18" r:id="rId14" display="https://api-docs.deepseek.com/zh-cn/quick_start/error_codes"/>
    <hyperlink ref="C19" r:id="rId15" display="https://api-docs.deepseek.com/zh-cn/guides/json_mode"/>
    <hyperlink ref="C20" r:id="rId16" display="https://api-docs.deepseek.com/zh-cn/guides/tool_calls"/>
    <hyperlink ref="C21" r:id="rId17" display="https://api-docs.deepseek.com/zh-cn/quick_start/pricing"/>
    <hyperlink ref="C22" r:id="rId18" display="https://www.sbert.net/docs/sentence_transformer/usage/semantic_textual_similarity.html"/>
    <hyperlink ref="C23" r:id="rId19" display="https://www.sbert.net/examples/sentence_transformer/applications/semantic-search/README.html"/>
    <hyperlink ref="C24" r:id="rId20" display="https://learn.microsoft.com/zh-cn/azure/search/vector-search-how-to-chunk-documents"/>
    <hyperlink ref="C25" r:id="rId21" display="https://docs.trychroma.com/docs/overview/getting-started"/>
    <hyperlink ref="C26" r:id="rId22" display="https://learn.microsoft.com/zh-cn/azure/search/retrieval-augmented-generation-overview"/>
    <hyperlink ref="C27" r:id="rId23" display="https://docs.streamlit.io/develop/tutorials/chat-and-llm-apps/build-conversational-apps"/>
    <hyperlink ref="C28" r:id="rId24" display="https://docs.streamlit.io/develop/api-reference/caching-and-state/st.session_state"/>
    <hyperlink ref="C29" r:id="rId25" display="https://docs.streamlit.io/develop/concepts/architecture/caching"/>
    <hyperlink ref="C30" r:id="rId26" display="https://docs.pytest.org/en/stable/getting-started.html"/>
    <hyperlink ref="C31" r:id="rId27" display="https://genai.owasp.org/llmrisk/llm01-prompt-injection/"/>
    <hyperlink ref="C32" r:id="rId28" display="https://genai.owasp.org/llmrisk/llm062025-excessive-agency/"/>
    <hyperlink ref="C33" r:id="rId29" display="https://docs.docker.com/get-started/workshop/"/>
    <hyperlink ref="C34" r:id="rId30" display="https://fastapi.tiangolo.com/zh/deployment/docker/"/>
    <hyperlink ref="C35" r:id="rId31" display="https://docs.github.com/zh/actions/use-cases-and-examples/building-and-testing/building-and-testing-python"/>
    <hyperlink ref="C36" r:id="rId32" display="https://docs.github.com/zh/repositories/managing-your-repositorys-settings-and-features/customizing-your-repository/about-readmes"/>
    <hyperlink ref="C37" r:id="rId33" display="https://docs.github.com/zh/account-and-profile/setting-up-and-managing-your-github-profile/customizing-your-profile/managing-your-profile-readme"/>
    <hyperlink ref="C38" r:id="rId34" display="https://docs.github.com/zh/authentication/keeping-your-account-and-data-secure/removing-sensitive-data-from-a-repository"/>
    <hyperlink ref="C39" r:id="rId35" display="https://learn.microsoft.com/zh-cn/azure/well-architected/what-is-well-architected-framework"/>
    <hyperlink ref="C40" r:id="rId36" display="https://learn.microsoft.com/zh-cn/training/career-paths/solution-architect"/>
    <hyperlink ref="C41" r:id="rId37" display="https://learn.microsoft.com/zh-cn/azure/well-architected/cost-optimization/principles"/>
    <hyperlink ref="C42" r:id="rId38" display="https://learn.microsoft.com/zh-cn/azure/well-architected/reliability/principles"/>
    <hyperlink ref="C43" r:id="rId39" display="https://learn.microsoft.com/zh-cn/azure/well-architected/operational-excellence/principles"/>
    <hyperlink ref="C44" r:id="rId40" display="https://nationalcareers.service.gov.uk/careers-advice/interview-advice/the-star-method"/>
    <hyperlink ref="C45" r:id="rId41" display="https://nationalcareers.service.gov.uk/careers-advice/cv-sections"/>
    <hyperlink ref="C46" r:id="rId42" display="https://nationalcareers.service.gov.uk/careers-advice/interview-advice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进度总览</vt:lpstr>
      <vt:lpstr>每日清单</vt:lpstr>
      <vt:lpstr>学习资料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zzzzzj</cp:lastModifiedBy>
  <dcterms:created xsi:type="dcterms:W3CDTF">2026-10-05T05:42:39Z</dcterms:created>
  <dcterms:modified xsi:type="dcterms:W3CDTF">2026-10-05T06:45:49Z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2117110E55E043F6A7903D8814CE02A7_12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